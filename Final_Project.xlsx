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7126fab0d431b786/Desktop/"/>
    </mc:Choice>
  </mc:AlternateContent>
  <xr:revisionPtr revIDLastSave="0" documentId="8_{6D2FB0C6-4BD4-477E-9CEC-C036AE598C53}" xr6:coauthVersionLast="47" xr6:coauthVersionMax="47" xr10:uidLastSave="{00000000-0000-0000-0000-000000000000}"/>
  <bookViews>
    <workbookView xWindow="-108" yWindow="-108" windowWidth="23256" windowHeight="13176" firstSheet="1" activeTab="1" xr2:uid="{00000000-000D-0000-FFFF-FFFF00000000}"/>
  </bookViews>
  <sheets>
    <sheet name="Dashboard" sheetId="1" r:id="rId1"/>
    <sheet name="Project Instructions" sheetId="2" r:id="rId2"/>
    <sheet name="Raw Data" sheetId="3" r:id="rId3"/>
    <sheet name="Analysis" sheetId="4" r:id="rId4"/>
    <sheet name="Pivot Tables" sheetId="5" r:id="rId5"/>
    <sheet name="Visualizations" sheetId="6" r:id="rId6"/>
    <sheet name="What-If &amp; Regression" sheetId="7" r:id="rId7"/>
  </sheets>
  <definedNames>
    <definedName name="_xlnm._FilterDatabase" localSheetId="2" hidden="1">'Raw Data'!$A$1:$S$251</definedName>
  </definedNames>
  <calcPr calcId="191029" calcCompleted="0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2" i="7" l="1"/>
  <c r="D6" i="7"/>
  <c r="D5" i="7"/>
  <c r="D4" i="7"/>
  <c r="J16" i="6"/>
  <c r="J15" i="6"/>
  <c r="J14" i="6"/>
  <c r="J13" i="6"/>
  <c r="G13" i="6"/>
  <c r="J12" i="6"/>
  <c r="G12" i="6"/>
  <c r="J11" i="6"/>
  <c r="G11" i="6"/>
  <c r="J10" i="6"/>
  <c r="G10" i="6"/>
  <c r="J9" i="6"/>
  <c r="G9" i="6"/>
  <c r="J8" i="6"/>
  <c r="G8" i="6"/>
  <c r="D8" i="6"/>
  <c r="J7" i="6"/>
  <c r="G7" i="6"/>
  <c r="D7" i="6"/>
  <c r="J6" i="6"/>
  <c r="G6" i="6"/>
  <c r="D6" i="6"/>
  <c r="A6" i="6"/>
  <c r="J5" i="6"/>
  <c r="G5" i="6"/>
  <c r="D5" i="6"/>
  <c r="A5" i="6"/>
  <c r="J4" i="6"/>
  <c r="G4" i="6"/>
  <c r="D4" i="6"/>
  <c r="A4" i="6"/>
  <c r="G41" i="5"/>
  <c r="F41" i="5"/>
  <c r="G40" i="5"/>
  <c r="F40" i="5"/>
  <c r="G39" i="5"/>
  <c r="F39" i="5"/>
  <c r="G38" i="5"/>
  <c r="F38" i="5"/>
  <c r="G37" i="5"/>
  <c r="F37" i="5"/>
  <c r="G36" i="5"/>
  <c r="F36" i="5"/>
  <c r="G35" i="5"/>
  <c r="F35" i="5"/>
  <c r="G34" i="5"/>
  <c r="F34" i="5"/>
  <c r="G33" i="5"/>
  <c r="F33" i="5"/>
  <c r="G32" i="5"/>
  <c r="F32" i="5"/>
  <c r="C32" i="5"/>
  <c r="B32" i="5"/>
  <c r="G31" i="5"/>
  <c r="F31" i="5"/>
  <c r="C31" i="5"/>
  <c r="B31" i="5"/>
  <c r="G30" i="5"/>
  <c r="F30" i="5"/>
  <c r="C30" i="5"/>
  <c r="B30" i="5"/>
  <c r="G29" i="5"/>
  <c r="F29" i="5"/>
  <c r="C29" i="5"/>
  <c r="B29" i="5"/>
  <c r="D25" i="5"/>
  <c r="C25" i="5"/>
  <c r="B25" i="5"/>
  <c r="D24" i="5"/>
  <c r="C24" i="5"/>
  <c r="B24" i="5"/>
  <c r="D23" i="5"/>
  <c r="C23" i="5"/>
  <c r="B23" i="5"/>
  <c r="D22" i="5"/>
  <c r="C22" i="5"/>
  <c r="B22" i="5"/>
  <c r="D21" i="5"/>
  <c r="C21" i="5"/>
  <c r="B21" i="5"/>
  <c r="D20" i="5"/>
  <c r="C20" i="5"/>
  <c r="B20" i="5"/>
  <c r="D19" i="5"/>
  <c r="C19" i="5"/>
  <c r="B19" i="5"/>
  <c r="H18" i="5"/>
  <c r="G18" i="5"/>
  <c r="F18" i="5"/>
  <c r="D18" i="5"/>
  <c r="C18" i="5"/>
  <c r="B18" i="5"/>
  <c r="H17" i="5"/>
  <c r="G17" i="5"/>
  <c r="F17" i="5"/>
  <c r="D17" i="5"/>
  <c r="C17" i="5"/>
  <c r="B17" i="5"/>
  <c r="H16" i="5"/>
  <c r="G16" i="5"/>
  <c r="F16" i="5"/>
  <c r="D16" i="5"/>
  <c r="C16" i="5"/>
  <c r="B16" i="5"/>
  <c r="H11" i="5"/>
  <c r="G11" i="5"/>
  <c r="F11" i="5"/>
  <c r="H10" i="5"/>
  <c r="G10" i="5"/>
  <c r="F10" i="5"/>
  <c r="H9" i="5"/>
  <c r="G9" i="5"/>
  <c r="F9" i="5"/>
  <c r="D9" i="5"/>
  <c r="C9" i="5"/>
  <c r="B9" i="5"/>
  <c r="H8" i="5"/>
  <c r="G8" i="5"/>
  <c r="F8" i="5"/>
  <c r="D8" i="5"/>
  <c r="C8" i="5"/>
  <c r="B8" i="5"/>
  <c r="H7" i="5"/>
  <c r="G7" i="5"/>
  <c r="F7" i="5"/>
  <c r="D7" i="5"/>
  <c r="C7" i="5"/>
  <c r="B7" i="5"/>
  <c r="H65" i="4"/>
  <c r="G65" i="4"/>
  <c r="H64" i="4"/>
  <c r="G64" i="4"/>
  <c r="H63" i="4"/>
  <c r="G63" i="4"/>
  <c r="H62" i="4"/>
  <c r="G62" i="4"/>
  <c r="H61" i="4"/>
  <c r="G61" i="4"/>
  <c r="H60" i="4"/>
  <c r="G60" i="4"/>
  <c r="H59" i="4"/>
  <c r="G59" i="4"/>
  <c r="H58" i="4"/>
  <c r="G58" i="4"/>
  <c r="H57" i="4"/>
  <c r="G57" i="4"/>
  <c r="H56" i="4"/>
  <c r="G56" i="4"/>
  <c r="H55" i="4"/>
  <c r="G55" i="4"/>
  <c r="H54" i="4"/>
  <c r="G54" i="4"/>
  <c r="H53" i="4"/>
  <c r="G53" i="4"/>
  <c r="H52" i="4"/>
  <c r="G52" i="4"/>
  <c r="H51" i="4"/>
  <c r="G51" i="4"/>
  <c r="H50" i="4"/>
  <c r="G50" i="4"/>
  <c r="H49" i="4"/>
  <c r="G49" i="4"/>
  <c r="H48" i="4"/>
  <c r="G48" i="4"/>
  <c r="H47" i="4"/>
  <c r="G47" i="4"/>
  <c r="H46" i="4"/>
  <c r="G46" i="4"/>
  <c r="H45" i="4"/>
  <c r="G45" i="4"/>
  <c r="H44" i="4"/>
  <c r="G44" i="4"/>
  <c r="H43" i="4"/>
  <c r="G43" i="4"/>
  <c r="H42" i="4"/>
  <c r="G42" i="4"/>
  <c r="H41" i="4"/>
  <c r="G41" i="4"/>
  <c r="H40" i="4"/>
  <c r="G40" i="4"/>
  <c r="H39" i="4"/>
  <c r="G39" i="4"/>
  <c r="H38" i="4"/>
  <c r="G38" i="4"/>
  <c r="H37" i="4"/>
  <c r="G37" i="4"/>
  <c r="H36" i="4"/>
  <c r="G36" i="4"/>
  <c r="H35" i="4"/>
  <c r="G35" i="4"/>
  <c r="H34" i="4"/>
  <c r="G34" i="4"/>
  <c r="H33" i="4"/>
  <c r="G33" i="4"/>
  <c r="H32" i="4"/>
  <c r="G32" i="4"/>
  <c r="H31" i="4"/>
  <c r="G31" i="4"/>
  <c r="H30" i="4"/>
  <c r="G30" i="4"/>
  <c r="H29" i="4"/>
  <c r="G29" i="4"/>
  <c r="H28" i="4"/>
  <c r="G28" i="4"/>
  <c r="H27" i="4"/>
  <c r="G27" i="4"/>
  <c r="H26" i="4"/>
  <c r="G26" i="4"/>
  <c r="H25" i="4"/>
  <c r="G25" i="4"/>
  <c r="D25" i="4"/>
  <c r="C25" i="4"/>
  <c r="B25" i="4"/>
  <c r="H13" i="6" s="1"/>
  <c r="H24" i="4"/>
  <c r="G24" i="4"/>
  <c r="D24" i="4"/>
  <c r="C24" i="4"/>
  <c r="B24" i="4"/>
  <c r="H12" i="6" s="1"/>
  <c r="H23" i="4"/>
  <c r="G23" i="4"/>
  <c r="D23" i="4"/>
  <c r="C23" i="4"/>
  <c r="B23" i="4"/>
  <c r="H11" i="6" s="1"/>
  <c r="H22" i="4"/>
  <c r="G22" i="4"/>
  <c r="D22" i="4"/>
  <c r="C22" i="4"/>
  <c r="B22" i="4"/>
  <c r="H10" i="6" s="1"/>
  <c r="H21" i="4"/>
  <c r="G21" i="4"/>
  <c r="D21" i="4"/>
  <c r="C21" i="4"/>
  <c r="B21" i="4"/>
  <c r="H9" i="6" s="1"/>
  <c r="H20" i="4"/>
  <c r="G20" i="4"/>
  <c r="D20" i="4"/>
  <c r="C20" i="4"/>
  <c r="B20" i="4"/>
  <c r="H8" i="6" s="1"/>
  <c r="H19" i="4"/>
  <c r="G19" i="4"/>
  <c r="D19" i="4"/>
  <c r="C19" i="4"/>
  <c r="B19" i="4"/>
  <c r="H7" i="6" s="1"/>
  <c r="H18" i="4"/>
  <c r="G18" i="4"/>
  <c r="D18" i="4"/>
  <c r="C18" i="4"/>
  <c r="B18" i="4"/>
  <c r="H6" i="6" s="1"/>
  <c r="H17" i="4"/>
  <c r="G17" i="4"/>
  <c r="D17" i="4"/>
  <c r="C17" i="4"/>
  <c r="B17" i="4"/>
  <c r="H5" i="6" s="1"/>
  <c r="H16" i="4"/>
  <c r="G16" i="4"/>
  <c r="D16" i="4"/>
  <c r="C16" i="4"/>
  <c r="B16" i="4"/>
  <c r="B11" i="4"/>
  <c r="B10" i="4"/>
  <c r="B9" i="4"/>
  <c r="H8" i="4"/>
  <c r="E8" i="6" s="1"/>
  <c r="B8" i="4"/>
  <c r="A8" i="1" s="1"/>
  <c r="H7" i="4"/>
  <c r="E7" i="6" s="1"/>
  <c r="B7" i="4"/>
  <c r="J5" i="1" s="1"/>
  <c r="H6" i="4"/>
  <c r="E6" i="6" s="1"/>
  <c r="E6" i="4"/>
  <c r="B6" i="6" s="1"/>
  <c r="B6" i="4"/>
  <c r="G5" i="1" s="1"/>
  <c r="H5" i="4"/>
  <c r="E5" i="6" s="1"/>
  <c r="E5" i="4"/>
  <c r="B5" i="6" s="1"/>
  <c r="B5" i="4"/>
  <c r="D5" i="1" s="1"/>
  <c r="H4" i="4"/>
  <c r="E4" i="4"/>
  <c r="B4" i="6" s="1"/>
  <c r="B4" i="4"/>
  <c r="A5" i="1" s="1"/>
  <c r="S251" i="3"/>
  <c r="R251" i="3"/>
  <c r="Q251" i="3"/>
  <c r="P251" i="3"/>
  <c r="O251" i="3"/>
  <c r="S250" i="3"/>
  <c r="R250" i="3"/>
  <c r="Q250" i="3"/>
  <c r="P250" i="3"/>
  <c r="O250" i="3"/>
  <c r="S249" i="3"/>
  <c r="R249" i="3"/>
  <c r="Q249" i="3"/>
  <c r="P249" i="3"/>
  <c r="O249" i="3"/>
  <c r="S248" i="3"/>
  <c r="R248" i="3"/>
  <c r="Q248" i="3"/>
  <c r="P248" i="3"/>
  <c r="O248" i="3"/>
  <c r="S247" i="3"/>
  <c r="R247" i="3"/>
  <c r="Q247" i="3"/>
  <c r="P247" i="3"/>
  <c r="O247" i="3"/>
  <c r="S246" i="3"/>
  <c r="R246" i="3"/>
  <c r="Q246" i="3"/>
  <c r="P246" i="3"/>
  <c r="O246" i="3"/>
  <c r="S245" i="3"/>
  <c r="R245" i="3"/>
  <c r="Q245" i="3"/>
  <c r="P245" i="3"/>
  <c r="O245" i="3"/>
  <c r="S244" i="3"/>
  <c r="R244" i="3"/>
  <c r="Q244" i="3"/>
  <c r="P244" i="3"/>
  <c r="O244" i="3"/>
  <c r="S243" i="3"/>
  <c r="R243" i="3"/>
  <c r="Q243" i="3"/>
  <c r="P243" i="3"/>
  <c r="O243" i="3"/>
  <c r="S242" i="3"/>
  <c r="R242" i="3"/>
  <c r="Q242" i="3"/>
  <c r="P242" i="3"/>
  <c r="O242" i="3"/>
  <c r="S241" i="3"/>
  <c r="R241" i="3"/>
  <c r="Q241" i="3"/>
  <c r="P241" i="3"/>
  <c r="O241" i="3"/>
  <c r="S240" i="3"/>
  <c r="R240" i="3"/>
  <c r="Q240" i="3"/>
  <c r="P240" i="3"/>
  <c r="O240" i="3"/>
  <c r="S239" i="3"/>
  <c r="R239" i="3"/>
  <c r="Q239" i="3"/>
  <c r="P239" i="3"/>
  <c r="O239" i="3"/>
  <c r="S238" i="3"/>
  <c r="R238" i="3"/>
  <c r="Q238" i="3"/>
  <c r="P238" i="3"/>
  <c r="O238" i="3"/>
  <c r="S237" i="3"/>
  <c r="R237" i="3"/>
  <c r="Q237" i="3"/>
  <c r="P237" i="3"/>
  <c r="O237" i="3"/>
  <c r="S236" i="3"/>
  <c r="R236" i="3"/>
  <c r="Q236" i="3"/>
  <c r="P236" i="3"/>
  <c r="O236" i="3"/>
  <c r="S235" i="3"/>
  <c r="R235" i="3"/>
  <c r="Q235" i="3"/>
  <c r="P235" i="3"/>
  <c r="O235" i="3"/>
  <c r="S234" i="3"/>
  <c r="R234" i="3"/>
  <c r="Q234" i="3"/>
  <c r="P234" i="3"/>
  <c r="O234" i="3"/>
  <c r="S233" i="3"/>
  <c r="R233" i="3"/>
  <c r="Q233" i="3"/>
  <c r="P233" i="3"/>
  <c r="O233" i="3"/>
  <c r="S232" i="3"/>
  <c r="R232" i="3"/>
  <c r="Q232" i="3"/>
  <c r="P232" i="3"/>
  <c r="O232" i="3"/>
  <c r="S231" i="3"/>
  <c r="R231" i="3"/>
  <c r="Q231" i="3"/>
  <c r="P231" i="3"/>
  <c r="O231" i="3"/>
  <c r="S230" i="3"/>
  <c r="R230" i="3"/>
  <c r="Q230" i="3"/>
  <c r="P230" i="3"/>
  <c r="O230" i="3"/>
  <c r="S229" i="3"/>
  <c r="R229" i="3"/>
  <c r="Q229" i="3"/>
  <c r="P229" i="3"/>
  <c r="O229" i="3"/>
  <c r="S228" i="3"/>
  <c r="R228" i="3"/>
  <c r="Q228" i="3"/>
  <c r="P228" i="3"/>
  <c r="O228" i="3"/>
  <c r="S227" i="3"/>
  <c r="R227" i="3"/>
  <c r="Q227" i="3"/>
  <c r="P227" i="3"/>
  <c r="O227" i="3"/>
  <c r="S226" i="3"/>
  <c r="R226" i="3"/>
  <c r="Q226" i="3"/>
  <c r="P226" i="3"/>
  <c r="O226" i="3"/>
  <c r="S225" i="3"/>
  <c r="R225" i="3"/>
  <c r="Q225" i="3"/>
  <c r="P225" i="3"/>
  <c r="O225" i="3"/>
  <c r="S224" i="3"/>
  <c r="R224" i="3"/>
  <c r="Q224" i="3"/>
  <c r="P224" i="3"/>
  <c r="O224" i="3"/>
  <c r="S223" i="3"/>
  <c r="R223" i="3"/>
  <c r="Q223" i="3"/>
  <c r="P223" i="3"/>
  <c r="O223" i="3"/>
  <c r="S222" i="3"/>
  <c r="R222" i="3"/>
  <c r="Q222" i="3"/>
  <c r="P222" i="3"/>
  <c r="O222" i="3"/>
  <c r="S221" i="3"/>
  <c r="R221" i="3"/>
  <c r="Q221" i="3"/>
  <c r="P221" i="3"/>
  <c r="O221" i="3"/>
  <c r="S220" i="3"/>
  <c r="R220" i="3"/>
  <c r="Q220" i="3"/>
  <c r="P220" i="3"/>
  <c r="O220" i="3"/>
  <c r="S219" i="3"/>
  <c r="R219" i="3"/>
  <c r="Q219" i="3"/>
  <c r="P219" i="3"/>
  <c r="O219" i="3"/>
  <c r="S218" i="3"/>
  <c r="R218" i="3"/>
  <c r="Q218" i="3"/>
  <c r="P218" i="3"/>
  <c r="O218" i="3"/>
  <c r="S217" i="3"/>
  <c r="R217" i="3"/>
  <c r="Q217" i="3"/>
  <c r="P217" i="3"/>
  <c r="O217" i="3"/>
  <c r="S216" i="3"/>
  <c r="R216" i="3"/>
  <c r="Q216" i="3"/>
  <c r="P216" i="3"/>
  <c r="O216" i="3"/>
  <c r="S215" i="3"/>
  <c r="R215" i="3"/>
  <c r="Q215" i="3"/>
  <c r="P215" i="3"/>
  <c r="O215" i="3"/>
  <c r="S214" i="3"/>
  <c r="R214" i="3"/>
  <c r="Q214" i="3"/>
  <c r="P214" i="3"/>
  <c r="O214" i="3"/>
  <c r="S213" i="3"/>
  <c r="R213" i="3"/>
  <c r="Q213" i="3"/>
  <c r="P213" i="3"/>
  <c r="O213" i="3"/>
  <c r="S212" i="3"/>
  <c r="R212" i="3"/>
  <c r="Q212" i="3"/>
  <c r="P212" i="3"/>
  <c r="O212" i="3"/>
  <c r="S211" i="3"/>
  <c r="R211" i="3"/>
  <c r="Q211" i="3"/>
  <c r="P211" i="3"/>
  <c r="O211" i="3"/>
  <c r="S210" i="3"/>
  <c r="R210" i="3"/>
  <c r="Q210" i="3"/>
  <c r="P210" i="3"/>
  <c r="O210" i="3"/>
  <c r="S209" i="3"/>
  <c r="R209" i="3"/>
  <c r="Q209" i="3"/>
  <c r="P209" i="3"/>
  <c r="O209" i="3"/>
  <c r="S208" i="3"/>
  <c r="R208" i="3"/>
  <c r="Q208" i="3"/>
  <c r="P208" i="3"/>
  <c r="O208" i="3"/>
  <c r="S207" i="3"/>
  <c r="R207" i="3"/>
  <c r="Q207" i="3"/>
  <c r="P207" i="3"/>
  <c r="O207" i="3"/>
  <c r="S206" i="3"/>
  <c r="R206" i="3"/>
  <c r="Q206" i="3"/>
  <c r="P206" i="3"/>
  <c r="O206" i="3"/>
  <c r="S205" i="3"/>
  <c r="R205" i="3"/>
  <c r="Q205" i="3"/>
  <c r="P205" i="3"/>
  <c r="O205" i="3"/>
  <c r="S204" i="3"/>
  <c r="R204" i="3"/>
  <c r="Q204" i="3"/>
  <c r="P204" i="3"/>
  <c r="O204" i="3"/>
  <c r="S203" i="3"/>
  <c r="R203" i="3"/>
  <c r="Q203" i="3"/>
  <c r="P203" i="3"/>
  <c r="O203" i="3"/>
  <c r="S202" i="3"/>
  <c r="R202" i="3"/>
  <c r="Q202" i="3"/>
  <c r="P202" i="3"/>
  <c r="O202" i="3"/>
  <c r="S201" i="3"/>
  <c r="R201" i="3"/>
  <c r="Q201" i="3"/>
  <c r="P201" i="3"/>
  <c r="O201" i="3"/>
  <c r="S200" i="3"/>
  <c r="R200" i="3"/>
  <c r="Q200" i="3"/>
  <c r="P200" i="3"/>
  <c r="O200" i="3"/>
  <c r="S199" i="3"/>
  <c r="R199" i="3"/>
  <c r="Q199" i="3"/>
  <c r="P199" i="3"/>
  <c r="O199" i="3"/>
  <c r="S198" i="3"/>
  <c r="R198" i="3"/>
  <c r="Q198" i="3"/>
  <c r="P198" i="3"/>
  <c r="O198" i="3"/>
  <c r="S197" i="3"/>
  <c r="R197" i="3"/>
  <c r="Q197" i="3"/>
  <c r="P197" i="3"/>
  <c r="O197" i="3"/>
  <c r="S196" i="3"/>
  <c r="R196" i="3"/>
  <c r="Q196" i="3"/>
  <c r="P196" i="3"/>
  <c r="O196" i="3"/>
  <c r="S195" i="3"/>
  <c r="R195" i="3"/>
  <c r="Q195" i="3"/>
  <c r="P195" i="3"/>
  <c r="O195" i="3"/>
  <c r="S194" i="3"/>
  <c r="R194" i="3"/>
  <c r="Q194" i="3"/>
  <c r="P194" i="3"/>
  <c r="O194" i="3"/>
  <c r="S193" i="3"/>
  <c r="R193" i="3"/>
  <c r="Q193" i="3"/>
  <c r="P193" i="3"/>
  <c r="O193" i="3"/>
  <c r="S192" i="3"/>
  <c r="R192" i="3"/>
  <c r="Q192" i="3"/>
  <c r="P192" i="3"/>
  <c r="O192" i="3"/>
  <c r="S191" i="3"/>
  <c r="R191" i="3"/>
  <c r="Q191" i="3"/>
  <c r="P191" i="3"/>
  <c r="O191" i="3"/>
  <c r="S190" i="3"/>
  <c r="R190" i="3"/>
  <c r="Q190" i="3"/>
  <c r="P190" i="3"/>
  <c r="O190" i="3"/>
  <c r="S189" i="3"/>
  <c r="R189" i="3"/>
  <c r="Q189" i="3"/>
  <c r="P189" i="3"/>
  <c r="O189" i="3"/>
  <c r="S188" i="3"/>
  <c r="R188" i="3"/>
  <c r="Q188" i="3"/>
  <c r="P188" i="3"/>
  <c r="O188" i="3"/>
  <c r="S187" i="3"/>
  <c r="R187" i="3"/>
  <c r="Q187" i="3"/>
  <c r="P187" i="3"/>
  <c r="O187" i="3"/>
  <c r="S186" i="3"/>
  <c r="R186" i="3"/>
  <c r="Q186" i="3"/>
  <c r="P186" i="3"/>
  <c r="O186" i="3"/>
  <c r="S185" i="3"/>
  <c r="R185" i="3"/>
  <c r="Q185" i="3"/>
  <c r="P185" i="3"/>
  <c r="O185" i="3"/>
  <c r="S184" i="3"/>
  <c r="R184" i="3"/>
  <c r="Q184" i="3"/>
  <c r="P184" i="3"/>
  <c r="O184" i="3"/>
  <c r="S183" i="3"/>
  <c r="R183" i="3"/>
  <c r="Q183" i="3"/>
  <c r="P183" i="3"/>
  <c r="O183" i="3"/>
  <c r="S182" i="3"/>
  <c r="R182" i="3"/>
  <c r="Q182" i="3"/>
  <c r="P182" i="3"/>
  <c r="O182" i="3"/>
  <c r="S181" i="3"/>
  <c r="R181" i="3"/>
  <c r="Q181" i="3"/>
  <c r="P181" i="3"/>
  <c r="O181" i="3"/>
  <c r="S180" i="3"/>
  <c r="R180" i="3"/>
  <c r="Q180" i="3"/>
  <c r="P180" i="3"/>
  <c r="O180" i="3"/>
  <c r="S179" i="3"/>
  <c r="R179" i="3"/>
  <c r="Q179" i="3"/>
  <c r="P179" i="3"/>
  <c r="O179" i="3"/>
  <c r="S178" i="3"/>
  <c r="R178" i="3"/>
  <c r="Q178" i="3"/>
  <c r="P178" i="3"/>
  <c r="O178" i="3"/>
  <c r="S177" i="3"/>
  <c r="R177" i="3"/>
  <c r="Q177" i="3"/>
  <c r="P177" i="3"/>
  <c r="O177" i="3"/>
  <c r="S176" i="3"/>
  <c r="R176" i="3"/>
  <c r="Q176" i="3"/>
  <c r="P176" i="3"/>
  <c r="O176" i="3"/>
  <c r="S175" i="3"/>
  <c r="R175" i="3"/>
  <c r="Q175" i="3"/>
  <c r="P175" i="3"/>
  <c r="O175" i="3"/>
  <c r="S174" i="3"/>
  <c r="R174" i="3"/>
  <c r="Q174" i="3"/>
  <c r="P174" i="3"/>
  <c r="O174" i="3"/>
  <c r="S173" i="3"/>
  <c r="R173" i="3"/>
  <c r="Q173" i="3"/>
  <c r="P173" i="3"/>
  <c r="O173" i="3"/>
  <c r="S172" i="3"/>
  <c r="R172" i="3"/>
  <c r="Q172" i="3"/>
  <c r="P172" i="3"/>
  <c r="O172" i="3"/>
  <c r="S171" i="3"/>
  <c r="R171" i="3"/>
  <c r="Q171" i="3"/>
  <c r="P171" i="3"/>
  <c r="O171" i="3"/>
  <c r="S170" i="3"/>
  <c r="R170" i="3"/>
  <c r="Q170" i="3"/>
  <c r="P170" i="3"/>
  <c r="O170" i="3"/>
  <c r="S169" i="3"/>
  <c r="R169" i="3"/>
  <c r="Q169" i="3"/>
  <c r="P169" i="3"/>
  <c r="O169" i="3"/>
  <c r="S168" i="3"/>
  <c r="R168" i="3"/>
  <c r="Q168" i="3"/>
  <c r="P168" i="3"/>
  <c r="O168" i="3"/>
  <c r="S167" i="3"/>
  <c r="R167" i="3"/>
  <c r="Q167" i="3"/>
  <c r="P167" i="3"/>
  <c r="O167" i="3"/>
  <c r="S166" i="3"/>
  <c r="R166" i="3"/>
  <c r="Q166" i="3"/>
  <c r="P166" i="3"/>
  <c r="O166" i="3"/>
  <c r="S165" i="3"/>
  <c r="R165" i="3"/>
  <c r="Q165" i="3"/>
  <c r="P165" i="3"/>
  <c r="O165" i="3"/>
  <c r="S164" i="3"/>
  <c r="R164" i="3"/>
  <c r="Q164" i="3"/>
  <c r="P164" i="3"/>
  <c r="O164" i="3"/>
  <c r="S163" i="3"/>
  <c r="R163" i="3"/>
  <c r="Q163" i="3"/>
  <c r="P163" i="3"/>
  <c r="O163" i="3"/>
  <c r="S162" i="3"/>
  <c r="R162" i="3"/>
  <c r="Q162" i="3"/>
  <c r="P162" i="3"/>
  <c r="O162" i="3"/>
  <c r="S161" i="3"/>
  <c r="R161" i="3"/>
  <c r="Q161" i="3"/>
  <c r="P161" i="3"/>
  <c r="O161" i="3"/>
  <c r="S160" i="3"/>
  <c r="R160" i="3"/>
  <c r="Q160" i="3"/>
  <c r="P160" i="3"/>
  <c r="O160" i="3"/>
  <c r="S159" i="3"/>
  <c r="R159" i="3"/>
  <c r="Q159" i="3"/>
  <c r="P159" i="3"/>
  <c r="O159" i="3"/>
  <c r="S158" i="3"/>
  <c r="R158" i="3"/>
  <c r="Q158" i="3"/>
  <c r="P158" i="3"/>
  <c r="O158" i="3"/>
  <c r="S157" i="3"/>
  <c r="R157" i="3"/>
  <c r="Q157" i="3"/>
  <c r="P157" i="3"/>
  <c r="O157" i="3"/>
  <c r="S156" i="3"/>
  <c r="R156" i="3"/>
  <c r="Q156" i="3"/>
  <c r="P156" i="3"/>
  <c r="O156" i="3"/>
  <c r="S155" i="3"/>
  <c r="R155" i="3"/>
  <c r="Q155" i="3"/>
  <c r="P155" i="3"/>
  <c r="O155" i="3"/>
  <c r="S154" i="3"/>
  <c r="R154" i="3"/>
  <c r="Q154" i="3"/>
  <c r="P154" i="3"/>
  <c r="O154" i="3"/>
  <c r="S153" i="3"/>
  <c r="R153" i="3"/>
  <c r="Q153" i="3"/>
  <c r="P153" i="3"/>
  <c r="O153" i="3"/>
  <c r="S152" i="3"/>
  <c r="R152" i="3"/>
  <c r="Q152" i="3"/>
  <c r="P152" i="3"/>
  <c r="O152" i="3"/>
  <c r="S151" i="3"/>
  <c r="R151" i="3"/>
  <c r="Q151" i="3"/>
  <c r="P151" i="3"/>
  <c r="O151" i="3"/>
  <c r="S150" i="3"/>
  <c r="R150" i="3"/>
  <c r="Q150" i="3"/>
  <c r="P150" i="3"/>
  <c r="O150" i="3"/>
  <c r="S149" i="3"/>
  <c r="R149" i="3"/>
  <c r="Q149" i="3"/>
  <c r="P149" i="3"/>
  <c r="O149" i="3"/>
  <c r="S148" i="3"/>
  <c r="R148" i="3"/>
  <c r="Q148" i="3"/>
  <c r="P148" i="3"/>
  <c r="O148" i="3"/>
  <c r="S147" i="3"/>
  <c r="R147" i="3"/>
  <c r="Q147" i="3"/>
  <c r="P147" i="3"/>
  <c r="O147" i="3"/>
  <c r="S146" i="3"/>
  <c r="R146" i="3"/>
  <c r="Q146" i="3"/>
  <c r="P146" i="3"/>
  <c r="O146" i="3"/>
  <c r="S145" i="3"/>
  <c r="R145" i="3"/>
  <c r="Q145" i="3"/>
  <c r="P145" i="3"/>
  <c r="O145" i="3"/>
  <c r="S144" i="3"/>
  <c r="R144" i="3"/>
  <c r="Q144" i="3"/>
  <c r="P144" i="3"/>
  <c r="O144" i="3"/>
  <c r="S143" i="3"/>
  <c r="R143" i="3"/>
  <c r="Q143" i="3"/>
  <c r="P143" i="3"/>
  <c r="O143" i="3"/>
  <c r="S142" i="3"/>
  <c r="R142" i="3"/>
  <c r="Q142" i="3"/>
  <c r="P142" i="3"/>
  <c r="O142" i="3"/>
  <c r="S141" i="3"/>
  <c r="R141" i="3"/>
  <c r="Q141" i="3"/>
  <c r="P141" i="3"/>
  <c r="O141" i="3"/>
  <c r="S140" i="3"/>
  <c r="R140" i="3"/>
  <c r="Q140" i="3"/>
  <c r="P140" i="3"/>
  <c r="O140" i="3"/>
  <c r="S139" i="3"/>
  <c r="R139" i="3"/>
  <c r="Q139" i="3"/>
  <c r="P139" i="3"/>
  <c r="O139" i="3"/>
  <c r="S138" i="3"/>
  <c r="R138" i="3"/>
  <c r="Q138" i="3"/>
  <c r="P138" i="3"/>
  <c r="O138" i="3"/>
  <c r="S137" i="3"/>
  <c r="R137" i="3"/>
  <c r="Q137" i="3"/>
  <c r="P137" i="3"/>
  <c r="O137" i="3"/>
  <c r="S136" i="3"/>
  <c r="R136" i="3"/>
  <c r="Q136" i="3"/>
  <c r="P136" i="3"/>
  <c r="O136" i="3"/>
  <c r="S135" i="3"/>
  <c r="R135" i="3"/>
  <c r="Q135" i="3"/>
  <c r="P135" i="3"/>
  <c r="O135" i="3"/>
  <c r="S134" i="3"/>
  <c r="R134" i="3"/>
  <c r="Q134" i="3"/>
  <c r="P134" i="3"/>
  <c r="O134" i="3"/>
  <c r="S133" i="3"/>
  <c r="R133" i="3"/>
  <c r="Q133" i="3"/>
  <c r="P133" i="3"/>
  <c r="O133" i="3"/>
  <c r="S132" i="3"/>
  <c r="R132" i="3"/>
  <c r="Q132" i="3"/>
  <c r="P132" i="3"/>
  <c r="O132" i="3"/>
  <c r="S131" i="3"/>
  <c r="R131" i="3"/>
  <c r="Q131" i="3"/>
  <c r="P131" i="3"/>
  <c r="O131" i="3"/>
  <c r="S130" i="3"/>
  <c r="R130" i="3"/>
  <c r="Q130" i="3"/>
  <c r="P130" i="3"/>
  <c r="O130" i="3"/>
  <c r="S129" i="3"/>
  <c r="R129" i="3"/>
  <c r="Q129" i="3"/>
  <c r="P129" i="3"/>
  <c r="O129" i="3"/>
  <c r="S128" i="3"/>
  <c r="R128" i="3"/>
  <c r="Q128" i="3"/>
  <c r="P128" i="3"/>
  <c r="O128" i="3"/>
  <c r="S127" i="3"/>
  <c r="R127" i="3"/>
  <c r="Q127" i="3"/>
  <c r="P127" i="3"/>
  <c r="O127" i="3"/>
  <c r="S126" i="3"/>
  <c r="R126" i="3"/>
  <c r="Q126" i="3"/>
  <c r="P126" i="3"/>
  <c r="O126" i="3"/>
  <c r="S125" i="3"/>
  <c r="R125" i="3"/>
  <c r="Q125" i="3"/>
  <c r="P125" i="3"/>
  <c r="O125" i="3"/>
  <c r="S124" i="3"/>
  <c r="R124" i="3"/>
  <c r="Q124" i="3"/>
  <c r="P124" i="3"/>
  <c r="O124" i="3"/>
  <c r="S123" i="3"/>
  <c r="R123" i="3"/>
  <c r="Q123" i="3"/>
  <c r="P123" i="3"/>
  <c r="O123" i="3"/>
  <c r="S122" i="3"/>
  <c r="R122" i="3"/>
  <c r="Q122" i="3"/>
  <c r="P122" i="3"/>
  <c r="O122" i="3"/>
  <c r="S121" i="3"/>
  <c r="R121" i="3"/>
  <c r="Q121" i="3"/>
  <c r="P121" i="3"/>
  <c r="O121" i="3"/>
  <c r="S120" i="3"/>
  <c r="R120" i="3"/>
  <c r="Q120" i="3"/>
  <c r="P120" i="3"/>
  <c r="O120" i="3"/>
  <c r="S119" i="3"/>
  <c r="R119" i="3"/>
  <c r="Q119" i="3"/>
  <c r="P119" i="3"/>
  <c r="O119" i="3"/>
  <c r="S118" i="3"/>
  <c r="R118" i="3"/>
  <c r="Q118" i="3"/>
  <c r="P118" i="3"/>
  <c r="O118" i="3"/>
  <c r="S117" i="3"/>
  <c r="R117" i="3"/>
  <c r="Q117" i="3"/>
  <c r="P117" i="3"/>
  <c r="O117" i="3"/>
  <c r="S116" i="3"/>
  <c r="R116" i="3"/>
  <c r="Q116" i="3"/>
  <c r="P116" i="3"/>
  <c r="O116" i="3"/>
  <c r="S115" i="3"/>
  <c r="R115" i="3"/>
  <c r="Q115" i="3"/>
  <c r="P115" i="3"/>
  <c r="O115" i="3"/>
  <c r="S114" i="3"/>
  <c r="R114" i="3"/>
  <c r="Q114" i="3"/>
  <c r="P114" i="3"/>
  <c r="O114" i="3"/>
  <c r="S113" i="3"/>
  <c r="R113" i="3"/>
  <c r="Q113" i="3"/>
  <c r="P113" i="3"/>
  <c r="O113" i="3"/>
  <c r="S112" i="3"/>
  <c r="R112" i="3"/>
  <c r="Q112" i="3"/>
  <c r="P112" i="3"/>
  <c r="O112" i="3"/>
  <c r="S111" i="3"/>
  <c r="R111" i="3"/>
  <c r="Q111" i="3"/>
  <c r="P111" i="3"/>
  <c r="O111" i="3"/>
  <c r="S110" i="3"/>
  <c r="R110" i="3"/>
  <c r="Q110" i="3"/>
  <c r="P110" i="3"/>
  <c r="O110" i="3"/>
  <c r="S109" i="3"/>
  <c r="R109" i="3"/>
  <c r="Q109" i="3"/>
  <c r="P109" i="3"/>
  <c r="O109" i="3"/>
  <c r="S108" i="3"/>
  <c r="R108" i="3"/>
  <c r="Q108" i="3"/>
  <c r="P108" i="3"/>
  <c r="O108" i="3"/>
  <c r="S107" i="3"/>
  <c r="R107" i="3"/>
  <c r="Q107" i="3"/>
  <c r="P107" i="3"/>
  <c r="O107" i="3"/>
  <c r="S106" i="3"/>
  <c r="R106" i="3"/>
  <c r="Q106" i="3"/>
  <c r="P106" i="3"/>
  <c r="O106" i="3"/>
  <c r="S105" i="3"/>
  <c r="R105" i="3"/>
  <c r="Q105" i="3"/>
  <c r="P105" i="3"/>
  <c r="O105" i="3"/>
  <c r="S104" i="3"/>
  <c r="R104" i="3"/>
  <c r="Q104" i="3"/>
  <c r="P104" i="3"/>
  <c r="O104" i="3"/>
  <c r="S103" i="3"/>
  <c r="R103" i="3"/>
  <c r="Q103" i="3"/>
  <c r="P103" i="3"/>
  <c r="O103" i="3"/>
  <c r="S102" i="3"/>
  <c r="R102" i="3"/>
  <c r="Q102" i="3"/>
  <c r="P102" i="3"/>
  <c r="O102" i="3"/>
  <c r="S101" i="3"/>
  <c r="R101" i="3"/>
  <c r="Q101" i="3"/>
  <c r="P101" i="3"/>
  <c r="O101" i="3"/>
  <c r="S100" i="3"/>
  <c r="R100" i="3"/>
  <c r="Q100" i="3"/>
  <c r="P100" i="3"/>
  <c r="O100" i="3"/>
  <c r="S99" i="3"/>
  <c r="R99" i="3"/>
  <c r="Q99" i="3"/>
  <c r="P99" i="3"/>
  <c r="O99" i="3"/>
  <c r="S98" i="3"/>
  <c r="R98" i="3"/>
  <c r="Q98" i="3"/>
  <c r="P98" i="3"/>
  <c r="O98" i="3"/>
  <c r="S97" i="3"/>
  <c r="R97" i="3"/>
  <c r="Q97" i="3"/>
  <c r="P97" i="3"/>
  <c r="O97" i="3"/>
  <c r="S96" i="3"/>
  <c r="R96" i="3"/>
  <c r="Q96" i="3"/>
  <c r="P96" i="3"/>
  <c r="O96" i="3"/>
  <c r="S95" i="3"/>
  <c r="R95" i="3"/>
  <c r="Q95" i="3"/>
  <c r="P95" i="3"/>
  <c r="O95" i="3"/>
  <c r="S94" i="3"/>
  <c r="R94" i="3"/>
  <c r="Q94" i="3"/>
  <c r="P94" i="3"/>
  <c r="O94" i="3"/>
  <c r="S93" i="3"/>
  <c r="R93" i="3"/>
  <c r="Q93" i="3"/>
  <c r="P93" i="3"/>
  <c r="O93" i="3"/>
  <c r="S92" i="3"/>
  <c r="R92" i="3"/>
  <c r="Q92" i="3"/>
  <c r="P92" i="3"/>
  <c r="O92" i="3"/>
  <c r="S91" i="3"/>
  <c r="R91" i="3"/>
  <c r="Q91" i="3"/>
  <c r="P91" i="3"/>
  <c r="O91" i="3"/>
  <c r="S90" i="3"/>
  <c r="R90" i="3"/>
  <c r="Q90" i="3"/>
  <c r="P90" i="3"/>
  <c r="O90" i="3"/>
  <c r="S89" i="3"/>
  <c r="R89" i="3"/>
  <c r="Q89" i="3"/>
  <c r="P89" i="3"/>
  <c r="O89" i="3"/>
  <c r="S88" i="3"/>
  <c r="R88" i="3"/>
  <c r="Q88" i="3"/>
  <c r="P88" i="3"/>
  <c r="O88" i="3"/>
  <c r="S87" i="3"/>
  <c r="R87" i="3"/>
  <c r="Q87" i="3"/>
  <c r="P87" i="3"/>
  <c r="O87" i="3"/>
  <c r="S86" i="3"/>
  <c r="R86" i="3"/>
  <c r="Q86" i="3"/>
  <c r="P86" i="3"/>
  <c r="O86" i="3"/>
  <c r="S85" i="3"/>
  <c r="R85" i="3"/>
  <c r="Q85" i="3"/>
  <c r="P85" i="3"/>
  <c r="O85" i="3"/>
  <c r="S84" i="3"/>
  <c r="R84" i="3"/>
  <c r="Q84" i="3"/>
  <c r="P84" i="3"/>
  <c r="O84" i="3"/>
  <c r="S83" i="3"/>
  <c r="R83" i="3"/>
  <c r="Q83" i="3"/>
  <c r="P83" i="3"/>
  <c r="O83" i="3"/>
  <c r="S82" i="3"/>
  <c r="R82" i="3"/>
  <c r="Q82" i="3"/>
  <c r="P82" i="3"/>
  <c r="O82" i="3"/>
  <c r="S81" i="3"/>
  <c r="R81" i="3"/>
  <c r="Q81" i="3"/>
  <c r="P81" i="3"/>
  <c r="O81" i="3"/>
  <c r="S80" i="3"/>
  <c r="R80" i="3"/>
  <c r="Q80" i="3"/>
  <c r="P80" i="3"/>
  <c r="O80" i="3"/>
  <c r="S79" i="3"/>
  <c r="R79" i="3"/>
  <c r="Q79" i="3"/>
  <c r="P79" i="3"/>
  <c r="O79" i="3"/>
  <c r="S78" i="3"/>
  <c r="R78" i="3"/>
  <c r="Q78" i="3"/>
  <c r="P78" i="3"/>
  <c r="O78" i="3"/>
  <c r="S77" i="3"/>
  <c r="R77" i="3"/>
  <c r="Q77" i="3"/>
  <c r="P77" i="3"/>
  <c r="O77" i="3"/>
  <c r="S76" i="3"/>
  <c r="R76" i="3"/>
  <c r="Q76" i="3"/>
  <c r="P76" i="3"/>
  <c r="O76" i="3"/>
  <c r="S75" i="3"/>
  <c r="R75" i="3"/>
  <c r="Q75" i="3"/>
  <c r="P75" i="3"/>
  <c r="O75" i="3"/>
  <c r="S74" i="3"/>
  <c r="R74" i="3"/>
  <c r="Q74" i="3"/>
  <c r="P74" i="3"/>
  <c r="O74" i="3"/>
  <c r="S73" i="3"/>
  <c r="R73" i="3"/>
  <c r="Q73" i="3"/>
  <c r="P73" i="3"/>
  <c r="O73" i="3"/>
  <c r="S72" i="3"/>
  <c r="R72" i="3"/>
  <c r="Q72" i="3"/>
  <c r="P72" i="3"/>
  <c r="O72" i="3"/>
  <c r="S71" i="3"/>
  <c r="R71" i="3"/>
  <c r="Q71" i="3"/>
  <c r="P71" i="3"/>
  <c r="O71" i="3"/>
  <c r="S70" i="3"/>
  <c r="R70" i="3"/>
  <c r="Q70" i="3"/>
  <c r="P70" i="3"/>
  <c r="O70" i="3"/>
  <c r="S69" i="3"/>
  <c r="R69" i="3"/>
  <c r="Q69" i="3"/>
  <c r="P69" i="3"/>
  <c r="O69" i="3"/>
  <c r="S68" i="3"/>
  <c r="R68" i="3"/>
  <c r="Q68" i="3"/>
  <c r="P68" i="3"/>
  <c r="O68" i="3"/>
  <c r="S67" i="3"/>
  <c r="R67" i="3"/>
  <c r="Q67" i="3"/>
  <c r="P67" i="3"/>
  <c r="O67" i="3"/>
  <c r="S66" i="3"/>
  <c r="R66" i="3"/>
  <c r="Q66" i="3"/>
  <c r="P66" i="3"/>
  <c r="O66" i="3"/>
  <c r="S65" i="3"/>
  <c r="R65" i="3"/>
  <c r="Q65" i="3"/>
  <c r="P65" i="3"/>
  <c r="O65" i="3"/>
  <c r="S64" i="3"/>
  <c r="R64" i="3"/>
  <c r="Q64" i="3"/>
  <c r="P64" i="3"/>
  <c r="O64" i="3"/>
  <c r="S63" i="3"/>
  <c r="R63" i="3"/>
  <c r="Q63" i="3"/>
  <c r="P63" i="3"/>
  <c r="O63" i="3"/>
  <c r="S62" i="3"/>
  <c r="R62" i="3"/>
  <c r="Q62" i="3"/>
  <c r="P62" i="3"/>
  <c r="O62" i="3"/>
  <c r="S61" i="3"/>
  <c r="R61" i="3"/>
  <c r="Q61" i="3"/>
  <c r="P61" i="3"/>
  <c r="O61" i="3"/>
  <c r="S60" i="3"/>
  <c r="R60" i="3"/>
  <c r="Q60" i="3"/>
  <c r="P60" i="3"/>
  <c r="O60" i="3"/>
  <c r="S59" i="3"/>
  <c r="R59" i="3"/>
  <c r="Q59" i="3"/>
  <c r="P59" i="3"/>
  <c r="O59" i="3"/>
  <c r="S58" i="3"/>
  <c r="R58" i="3"/>
  <c r="Q58" i="3"/>
  <c r="P58" i="3"/>
  <c r="O58" i="3"/>
  <c r="S57" i="3"/>
  <c r="R57" i="3"/>
  <c r="Q57" i="3"/>
  <c r="P57" i="3"/>
  <c r="O57" i="3"/>
  <c r="S56" i="3"/>
  <c r="R56" i="3"/>
  <c r="Q56" i="3"/>
  <c r="P56" i="3"/>
  <c r="O56" i="3"/>
  <c r="S55" i="3"/>
  <c r="R55" i="3"/>
  <c r="Q55" i="3"/>
  <c r="P55" i="3"/>
  <c r="O55" i="3"/>
  <c r="S54" i="3"/>
  <c r="R54" i="3"/>
  <c r="Q54" i="3"/>
  <c r="P54" i="3"/>
  <c r="O54" i="3"/>
  <c r="S53" i="3"/>
  <c r="R53" i="3"/>
  <c r="Q53" i="3"/>
  <c r="P53" i="3"/>
  <c r="O53" i="3"/>
  <c r="S52" i="3"/>
  <c r="R52" i="3"/>
  <c r="Q52" i="3"/>
  <c r="P52" i="3"/>
  <c r="O52" i="3"/>
  <c r="S51" i="3"/>
  <c r="R51" i="3"/>
  <c r="Q51" i="3"/>
  <c r="P51" i="3"/>
  <c r="O51" i="3"/>
  <c r="S50" i="3"/>
  <c r="R50" i="3"/>
  <c r="Q50" i="3"/>
  <c r="P50" i="3"/>
  <c r="O50" i="3"/>
  <c r="S49" i="3"/>
  <c r="R49" i="3"/>
  <c r="Q49" i="3"/>
  <c r="P49" i="3"/>
  <c r="O49" i="3"/>
  <c r="S48" i="3"/>
  <c r="R48" i="3"/>
  <c r="Q48" i="3"/>
  <c r="P48" i="3"/>
  <c r="O48" i="3"/>
  <c r="S47" i="3"/>
  <c r="R47" i="3"/>
  <c r="Q47" i="3"/>
  <c r="P47" i="3"/>
  <c r="O47" i="3"/>
  <c r="S46" i="3"/>
  <c r="R46" i="3"/>
  <c r="Q46" i="3"/>
  <c r="P46" i="3"/>
  <c r="O46" i="3"/>
  <c r="S45" i="3"/>
  <c r="R45" i="3"/>
  <c r="Q45" i="3"/>
  <c r="P45" i="3"/>
  <c r="O45" i="3"/>
  <c r="S44" i="3"/>
  <c r="R44" i="3"/>
  <c r="Q44" i="3"/>
  <c r="P44" i="3"/>
  <c r="O44" i="3"/>
  <c r="S43" i="3"/>
  <c r="R43" i="3"/>
  <c r="Q43" i="3"/>
  <c r="P43" i="3"/>
  <c r="O43" i="3"/>
  <c r="S42" i="3"/>
  <c r="R42" i="3"/>
  <c r="Q42" i="3"/>
  <c r="P42" i="3"/>
  <c r="O42" i="3"/>
  <c r="S41" i="3"/>
  <c r="R41" i="3"/>
  <c r="Q41" i="3"/>
  <c r="P41" i="3"/>
  <c r="O41" i="3"/>
  <c r="S40" i="3"/>
  <c r="R40" i="3"/>
  <c r="Q40" i="3"/>
  <c r="P40" i="3"/>
  <c r="O40" i="3"/>
  <c r="S39" i="3"/>
  <c r="R39" i="3"/>
  <c r="Q39" i="3"/>
  <c r="P39" i="3"/>
  <c r="O39" i="3"/>
  <c r="S38" i="3"/>
  <c r="R38" i="3"/>
  <c r="Q38" i="3"/>
  <c r="P38" i="3"/>
  <c r="O38" i="3"/>
  <c r="S37" i="3"/>
  <c r="R37" i="3"/>
  <c r="Q37" i="3"/>
  <c r="P37" i="3"/>
  <c r="O37" i="3"/>
  <c r="S36" i="3"/>
  <c r="R36" i="3"/>
  <c r="Q36" i="3"/>
  <c r="P36" i="3"/>
  <c r="O36" i="3"/>
  <c r="S35" i="3"/>
  <c r="R35" i="3"/>
  <c r="Q35" i="3"/>
  <c r="P35" i="3"/>
  <c r="O35" i="3"/>
  <c r="S34" i="3"/>
  <c r="R34" i="3"/>
  <c r="Q34" i="3"/>
  <c r="P34" i="3"/>
  <c r="O34" i="3"/>
  <c r="S33" i="3"/>
  <c r="R33" i="3"/>
  <c r="Q33" i="3"/>
  <c r="P33" i="3"/>
  <c r="O33" i="3"/>
  <c r="S32" i="3"/>
  <c r="R32" i="3"/>
  <c r="Q32" i="3"/>
  <c r="P32" i="3"/>
  <c r="O32" i="3"/>
  <c r="S31" i="3"/>
  <c r="R31" i="3"/>
  <c r="Q31" i="3"/>
  <c r="P31" i="3"/>
  <c r="O31" i="3"/>
  <c r="S30" i="3"/>
  <c r="R30" i="3"/>
  <c r="Q30" i="3"/>
  <c r="P30" i="3"/>
  <c r="O30" i="3"/>
  <c r="S29" i="3"/>
  <c r="R29" i="3"/>
  <c r="Q29" i="3"/>
  <c r="P29" i="3"/>
  <c r="O29" i="3"/>
  <c r="S28" i="3"/>
  <c r="R28" i="3"/>
  <c r="Q28" i="3"/>
  <c r="P28" i="3"/>
  <c r="O28" i="3"/>
  <c r="S27" i="3"/>
  <c r="R27" i="3"/>
  <c r="Q27" i="3"/>
  <c r="P27" i="3"/>
  <c r="O27" i="3"/>
  <c r="S26" i="3"/>
  <c r="R26" i="3"/>
  <c r="Q26" i="3"/>
  <c r="P26" i="3"/>
  <c r="O26" i="3"/>
  <c r="S25" i="3"/>
  <c r="R25" i="3"/>
  <c r="Q25" i="3"/>
  <c r="P25" i="3"/>
  <c r="O25" i="3"/>
  <c r="S24" i="3"/>
  <c r="R24" i="3"/>
  <c r="Q24" i="3"/>
  <c r="P24" i="3"/>
  <c r="O24" i="3"/>
  <c r="S23" i="3"/>
  <c r="R23" i="3"/>
  <c r="Q23" i="3"/>
  <c r="P23" i="3"/>
  <c r="O23" i="3"/>
  <c r="S22" i="3"/>
  <c r="R22" i="3"/>
  <c r="Q22" i="3"/>
  <c r="P22" i="3"/>
  <c r="O22" i="3"/>
  <c r="S21" i="3"/>
  <c r="R21" i="3"/>
  <c r="Q21" i="3"/>
  <c r="P21" i="3"/>
  <c r="O21" i="3"/>
  <c r="S20" i="3"/>
  <c r="R20" i="3"/>
  <c r="Q20" i="3"/>
  <c r="P20" i="3"/>
  <c r="O20" i="3"/>
  <c r="S19" i="3"/>
  <c r="R19" i="3"/>
  <c r="Q19" i="3"/>
  <c r="P19" i="3"/>
  <c r="O19" i="3"/>
  <c r="S18" i="3"/>
  <c r="R18" i="3"/>
  <c r="Q18" i="3"/>
  <c r="P18" i="3"/>
  <c r="O18" i="3"/>
  <c r="S17" i="3"/>
  <c r="R17" i="3"/>
  <c r="Q17" i="3"/>
  <c r="P17" i="3"/>
  <c r="O17" i="3"/>
  <c r="S16" i="3"/>
  <c r="R16" i="3"/>
  <c r="Q16" i="3"/>
  <c r="P16" i="3"/>
  <c r="O16" i="3"/>
  <c r="S15" i="3"/>
  <c r="R15" i="3"/>
  <c r="Q15" i="3"/>
  <c r="P15" i="3"/>
  <c r="O15" i="3"/>
  <c r="S14" i="3"/>
  <c r="R14" i="3"/>
  <c r="Q14" i="3"/>
  <c r="P14" i="3"/>
  <c r="O14" i="3"/>
  <c r="S13" i="3"/>
  <c r="R13" i="3"/>
  <c r="Q13" i="3"/>
  <c r="P13" i="3"/>
  <c r="O13" i="3"/>
  <c r="S12" i="3"/>
  <c r="R12" i="3"/>
  <c r="Q12" i="3"/>
  <c r="P12" i="3"/>
  <c r="O12" i="3"/>
  <c r="S11" i="3"/>
  <c r="R11" i="3"/>
  <c r="Q11" i="3"/>
  <c r="P11" i="3"/>
  <c r="O11" i="3"/>
  <c r="S10" i="3"/>
  <c r="R10" i="3"/>
  <c r="Q10" i="3"/>
  <c r="P10" i="3"/>
  <c r="O10" i="3"/>
  <c r="S9" i="3"/>
  <c r="R9" i="3"/>
  <c r="Q9" i="3"/>
  <c r="P9" i="3"/>
  <c r="O9" i="3"/>
  <c r="S8" i="3"/>
  <c r="R8" i="3"/>
  <c r="Q8" i="3"/>
  <c r="P8" i="3"/>
  <c r="O8" i="3"/>
  <c r="S7" i="3"/>
  <c r="R7" i="3"/>
  <c r="Q7" i="3"/>
  <c r="P7" i="3"/>
  <c r="O7" i="3"/>
  <c r="S6" i="3"/>
  <c r="R6" i="3"/>
  <c r="Q6" i="3"/>
  <c r="P6" i="3"/>
  <c r="O6" i="3"/>
  <c r="S5" i="3"/>
  <c r="R5" i="3"/>
  <c r="Q5" i="3"/>
  <c r="P5" i="3"/>
  <c r="O5" i="3"/>
  <c r="S4" i="3"/>
  <c r="R4" i="3"/>
  <c r="Q4" i="3"/>
  <c r="P4" i="3"/>
  <c r="O4" i="3"/>
  <c r="S3" i="3"/>
  <c r="R3" i="3"/>
  <c r="Q3" i="3"/>
  <c r="P3" i="3"/>
  <c r="O3" i="3"/>
  <c r="S2" i="3"/>
  <c r="R2" i="3"/>
  <c r="Q2" i="3"/>
  <c r="P2" i="3"/>
  <c r="O2" i="3"/>
  <c r="J8" i="1" l="1"/>
  <c r="H4" i="6"/>
  <c r="D8" i="1"/>
  <c r="E4" i="6"/>
  <c r="G8" i="1"/>
  <c r="L7" i="4"/>
  <c r="L4" i="4"/>
  <c r="K4" i="4"/>
  <c r="K5" i="4"/>
  <c r="K5" i="6" s="1"/>
  <c r="L5" i="4"/>
  <c r="K6" i="4"/>
  <c r="K6" i="6" s="1"/>
  <c r="L6" i="4"/>
  <c r="K7" i="4"/>
  <c r="K7" i="6" s="1"/>
  <c r="L15" i="4"/>
  <c r="K15" i="4"/>
  <c r="K15" i="6" s="1"/>
  <c r="L14" i="4"/>
  <c r="K14" i="4"/>
  <c r="K14" i="6" s="1"/>
  <c r="L13" i="4"/>
  <c r="K13" i="4"/>
  <c r="K13" i="6" s="1"/>
  <c r="L12" i="4"/>
  <c r="K12" i="4"/>
  <c r="K12" i="6" s="1"/>
  <c r="L11" i="4"/>
  <c r="K11" i="4"/>
  <c r="K11" i="6" s="1"/>
  <c r="K10" i="4"/>
  <c r="K10" i="6" s="1"/>
  <c r="L9" i="4"/>
  <c r="K9" i="4"/>
  <c r="K9" i="6" s="1"/>
  <c r="L8" i="4"/>
  <c r="K8" i="4"/>
  <c r="K8" i="6" s="1"/>
  <c r="L10" i="4"/>
  <c r="L16" i="4"/>
  <c r="K16" i="4"/>
  <c r="K16" i="6" s="1"/>
  <c r="K4" i="6" l="1"/>
  <c r="B18" i="7"/>
  <c r="B19" i="7"/>
  <c r="B20" i="7"/>
</calcChain>
</file>

<file path=xl/sharedStrings.xml><?xml version="1.0" encoding="utf-8"?>
<sst xmlns="http://schemas.openxmlformats.org/spreadsheetml/2006/main" count="2470" uniqueCount="482">
  <si>
    <t>Reporting period</t>
  </si>
  <si>
    <t>All dates</t>
  </si>
  <si>
    <t>Region</t>
  </si>
  <si>
    <t>All regions</t>
  </si>
  <si>
    <t>Customer segment</t>
  </si>
  <si>
    <t>All segments</t>
  </si>
  <si>
    <t>TOTAL REVENUE</t>
  </si>
  <si>
    <t>TRANSACTIONS</t>
  </si>
  <si>
    <t>UNITS SOLD</t>
  </si>
  <si>
    <t>AVG. ORDER VALUE</t>
  </si>
  <si>
    <t>UNIQUE CUSTOMERS</t>
  </si>
  <si>
    <t>TOP PRODUCT</t>
  </si>
  <si>
    <t>TOP REGION</t>
  </si>
  <si>
    <t>MOST FREQUENT PRODUCT</t>
  </si>
  <si>
    <t>PR. Final Project - "Data Intelligence Dashboard"</t>
  </si>
  <si>
    <t>Dataset: Use the 'Final Project Dataset' sheet containing 200+ records of customer transactions.
Objective: 
Create a full-fledged analysis and reporting solution using Excel to analyze customer transactions, find insights, 
and build visualizations and dashboards.
Key Topics to Implement:
- Date &amp; Time Functions: TODAY, NOW, DATEDIF, EOMONTH
- FILTER Function for multi-value returns
- Conditional Formatting with Icons/Arrows
- Create Timestamp (using NOW and iterative calculations)
- WHAT-IF Analysis: Scenario Manager, Goal Seek
- Linear Regression using Data Analysis Toolpak
- Data Analysis &amp; Storytelling from the dataset
- Use GroupBy concepts to find High-Value Customers using formulas
- Create Dashboard using:
    - Pivot Tables
    - Pivot Charts (Bar, Line, Pie)
    - Slicers and Timelines
    - KPI Indicators with Conditional Formatting
- Find most frequently purchased product or repeating names using formulas
- Compare two lists and extract matching names in a new column
- Create Abbreviations using TEXT functions
- Build a final report with insights and storytelling
Deliverable:
- Well-structured workbook with multiple sheets (Raw Data, Analysis, Visualizations, Dashboard)
- Summary Insights with key metrics: Total Revenue, Top Customers, Most Sold Products, Regional Sales
- Use of all required formulas and functions as listed above</t>
  </si>
  <si>
    <t>Transaction_ID</t>
  </si>
  <si>
    <t>Date</t>
  </si>
  <si>
    <t>Customer_ID</t>
  </si>
  <si>
    <t>Customer_Name</t>
  </si>
  <si>
    <t>Product_ID</t>
  </si>
  <si>
    <t>Product_Name</t>
  </si>
  <si>
    <t>Category</t>
  </si>
  <si>
    <t>Quantity</t>
  </si>
  <si>
    <t>Unit_Price</t>
  </si>
  <si>
    <t>Payment_Method</t>
  </si>
  <si>
    <t>Customer_Segment</t>
  </si>
  <si>
    <t>Customer_Since</t>
  </si>
  <si>
    <t>Total_Amount</t>
  </si>
  <si>
    <t>Month</t>
  </si>
  <si>
    <t>Year</t>
  </si>
  <si>
    <t>Customer_Tenure_Years</t>
  </si>
  <si>
    <t>Customer_Abbreviation</t>
  </si>
  <si>
    <t>Transaction_Timestamp</t>
  </si>
  <si>
    <t>TRX0155</t>
  </si>
  <si>
    <t>CUST023</t>
  </si>
  <si>
    <t>Paul Baker</t>
  </si>
  <si>
    <t>P009</t>
  </si>
  <si>
    <t>Monitor</t>
  </si>
  <si>
    <t>Electronics</t>
  </si>
  <si>
    <t>Cash</t>
  </si>
  <si>
    <t>Central</t>
  </si>
  <si>
    <t>Basic</t>
  </si>
  <si>
    <t>TRX0023</t>
  </si>
  <si>
    <t>CUST013</t>
  </si>
  <si>
    <t>Joseph Jackson</t>
  </si>
  <si>
    <t>Credit Card</t>
  </si>
  <si>
    <t>Premium</t>
  </si>
  <si>
    <t>TRX0139</t>
  </si>
  <si>
    <t>CUST021</t>
  </si>
  <si>
    <t>Kevin Scott</t>
  </si>
  <si>
    <t>P005</t>
  </si>
  <si>
    <t>Blender</t>
  </si>
  <si>
    <t>Appliances</t>
  </si>
  <si>
    <t>PayPal</t>
  </si>
  <si>
    <t>South</t>
  </si>
  <si>
    <t>Standard</t>
  </si>
  <si>
    <t>TRX0043</t>
  </si>
  <si>
    <t>CUST046</t>
  </si>
  <si>
    <t>Kathleen Bennett</t>
  </si>
  <si>
    <t>North</t>
  </si>
  <si>
    <t>TRX0212</t>
  </si>
  <si>
    <t>CUST003</t>
  </si>
  <si>
    <t>Michael Brown</t>
  </si>
  <si>
    <t>P008</t>
  </si>
  <si>
    <t>Bookshelf</t>
  </si>
  <si>
    <t>Furniture</t>
  </si>
  <si>
    <t>TRX0092</t>
  </si>
  <si>
    <t>CUST024</t>
  </si>
  <si>
    <t>Dorothy Nelson</t>
  </si>
  <si>
    <t>West</t>
  </si>
  <si>
    <t>TRX0193</t>
  </si>
  <si>
    <t>P003</t>
  </si>
  <si>
    <t>Headphones</t>
  </si>
  <si>
    <t>TRX0240</t>
  </si>
  <si>
    <t>CUST017</t>
  </si>
  <si>
    <t>Charles Allen</t>
  </si>
  <si>
    <t>Debit Card</t>
  </si>
  <si>
    <t>TRX0135</t>
  </si>
  <si>
    <t>CUST009</t>
  </si>
  <si>
    <t>Robert Thomas</t>
  </si>
  <si>
    <t>P001</t>
  </si>
  <si>
    <t>Laptop</t>
  </si>
  <si>
    <t>East</t>
  </si>
  <si>
    <t>TRX0185</t>
  </si>
  <si>
    <t>CUST026</t>
  </si>
  <si>
    <t>Karen Hill</t>
  </si>
  <si>
    <t>TRX0138</t>
  </si>
  <si>
    <t>CUST022</t>
  </si>
  <si>
    <t>Susan Green</t>
  </si>
  <si>
    <t>TRX0209</t>
  </si>
  <si>
    <t>TRX0246</t>
  </si>
  <si>
    <t>CUST041</t>
  </si>
  <si>
    <t>Peter Richardson</t>
  </si>
  <si>
    <t>TRX0067</t>
  </si>
  <si>
    <t>CUST043</t>
  </si>
  <si>
    <t>Dennis Gray</t>
  </si>
  <si>
    <t>TRX0191</t>
  </si>
  <si>
    <t>CUST038</t>
  </si>
  <si>
    <t>Michelle Rogers</t>
  </si>
  <si>
    <t>P002</t>
  </si>
  <si>
    <t>Smartphone</t>
  </si>
  <si>
    <t>TRX0230</t>
  </si>
  <si>
    <t>CUST027</t>
  </si>
  <si>
    <t>George Adams</t>
  </si>
  <si>
    <t>TRX0049</t>
  </si>
  <si>
    <t>CUST025</t>
  </si>
  <si>
    <t>Mark Carter</t>
  </si>
  <si>
    <t>TRX0134</t>
  </si>
  <si>
    <t>CUST010</t>
  </si>
  <si>
    <t>Maria Garcia</t>
  </si>
  <si>
    <t>TRX0122</t>
  </si>
  <si>
    <t>TRX0222</t>
  </si>
  <si>
    <t>CUST048</t>
  </si>
  <si>
    <t>Virginia Sanders</t>
  </si>
  <si>
    <t>TRX0231</t>
  </si>
  <si>
    <t>CUST018</t>
  </si>
  <si>
    <t>Barbara Young</t>
  </si>
  <si>
    <t>TRX0239</t>
  </si>
  <si>
    <t>CUST012</t>
  </si>
  <si>
    <t>Patricia Moore</t>
  </si>
  <si>
    <t>TRX0204</t>
  </si>
  <si>
    <t>CUST044</t>
  </si>
  <si>
    <t>Cynthia Price</t>
  </si>
  <si>
    <t>TRX0242</t>
  </si>
  <si>
    <t>P007</t>
  </si>
  <si>
    <t>Desk</t>
  </si>
  <si>
    <t>TRX0071</t>
  </si>
  <si>
    <t>CUST036</t>
  </si>
  <si>
    <t>Nancy Collins</t>
  </si>
  <si>
    <t>TRX0040</t>
  </si>
  <si>
    <t>TRX0235</t>
  </si>
  <si>
    <t>CUST014</t>
  </si>
  <si>
    <t>Linda Martin</t>
  </si>
  <si>
    <t>P004</t>
  </si>
  <si>
    <t>Coffee Maker</t>
  </si>
  <si>
    <t>TRX0004</t>
  </si>
  <si>
    <t>P010</t>
  </si>
  <si>
    <t>Keyboard</t>
  </si>
  <si>
    <t>TRX0063</t>
  </si>
  <si>
    <t>CUST030</t>
  </si>
  <si>
    <t>Helen Roberts</t>
  </si>
  <si>
    <t>TRX0241</t>
  </si>
  <si>
    <t>CUST029</t>
  </si>
  <si>
    <t>Edward Mitchell</t>
  </si>
  <si>
    <t>TRX0029</t>
  </si>
  <si>
    <t>P006</t>
  </si>
  <si>
    <t>Office Chair</t>
  </si>
  <si>
    <t>TRX0194</t>
  </si>
  <si>
    <t>CUST006</t>
  </si>
  <si>
    <t>Lisa Anderson</t>
  </si>
  <si>
    <t>TRX0130</t>
  </si>
  <si>
    <t>CUST002</t>
  </si>
  <si>
    <t>Emma Wilson</t>
  </si>
  <si>
    <t>TRX0041</t>
  </si>
  <si>
    <t>TRX0232</t>
  </si>
  <si>
    <t>TRX0021</t>
  </si>
  <si>
    <t>TRX0245</t>
  </si>
  <si>
    <t>CUST031</t>
  </si>
  <si>
    <t>Steven Turner</t>
  </si>
  <si>
    <t>TRX0015</t>
  </si>
  <si>
    <t>CUST008</t>
  </si>
  <si>
    <t>Jennifer Taylor</t>
  </si>
  <si>
    <t>TRX0202</t>
  </si>
  <si>
    <t>CUST035</t>
  </si>
  <si>
    <t>Harry Morgan</t>
  </si>
  <si>
    <t>TRX0042</t>
  </si>
  <si>
    <t>CUST019</t>
  </si>
  <si>
    <t>Daniel King</t>
  </si>
  <si>
    <t>TRX0128</t>
  </si>
  <si>
    <t>CUST040</t>
  </si>
  <si>
    <t>Sharon Butler</t>
  </si>
  <si>
    <t>TRX0117</t>
  </si>
  <si>
    <t>TRX0208</t>
  </si>
  <si>
    <t>CUST004</t>
  </si>
  <si>
    <t>Sarah Davis</t>
  </si>
  <si>
    <t>TRX0234</t>
  </si>
  <si>
    <t>TRX0121</t>
  </si>
  <si>
    <t>CUST028</t>
  </si>
  <si>
    <t>Betty Campbell</t>
  </si>
  <si>
    <t>TRX0220</t>
  </si>
  <si>
    <t>TRX0093</t>
  </si>
  <si>
    <t>CUST050</t>
  </si>
  <si>
    <t>Julie Foster</t>
  </si>
  <si>
    <t>TRX0088</t>
  </si>
  <si>
    <t>TRX0115</t>
  </si>
  <si>
    <t>TRX0154</t>
  </si>
  <si>
    <t>TRX0044</t>
  </si>
  <si>
    <t>TRX0061</t>
  </si>
  <si>
    <t>TRX0150</t>
  </si>
  <si>
    <t>TRX0025</t>
  </si>
  <si>
    <t>CUST049</t>
  </si>
  <si>
    <t>Raymond Ross</t>
  </si>
  <si>
    <t>TRX0078</t>
  </si>
  <si>
    <t>TRX0007</t>
  </si>
  <si>
    <t>TRX0184</t>
  </si>
  <si>
    <t>TRX0104</t>
  </si>
  <si>
    <t>TRX0127</t>
  </si>
  <si>
    <t>TRX0096</t>
  </si>
  <si>
    <t>TRX0192</t>
  </si>
  <si>
    <t>TRX0052</t>
  </si>
  <si>
    <t>TRX0070</t>
  </si>
  <si>
    <t>CUST007</t>
  </si>
  <si>
    <t>David Martinez</t>
  </si>
  <si>
    <t>TRX0086</t>
  </si>
  <si>
    <t>CUST020</t>
  </si>
  <si>
    <t>Margaret Wright</t>
  </si>
  <si>
    <t>TRX0113</t>
  </si>
  <si>
    <t>TRX0114</t>
  </si>
  <si>
    <t>TRX0136</t>
  </si>
  <si>
    <t>TRX0018</t>
  </si>
  <si>
    <t>TRX0141</t>
  </si>
  <si>
    <t>CUST033</t>
  </si>
  <si>
    <t>Frank Torres</t>
  </si>
  <si>
    <t>TRX0097</t>
  </si>
  <si>
    <t>TRX0169</t>
  </si>
  <si>
    <t>CUST047</t>
  </si>
  <si>
    <t>Gerald Murphy</t>
  </si>
  <si>
    <t>TRX0216</t>
  </si>
  <si>
    <t>TRX0131</t>
  </si>
  <si>
    <t>TRX0162</t>
  </si>
  <si>
    <t>TRX0244</t>
  </si>
  <si>
    <t>TRX0006</t>
  </si>
  <si>
    <t>TRX0215</t>
  </si>
  <si>
    <t>TRX0080</t>
  </si>
  <si>
    <t>TRX0228</t>
  </si>
  <si>
    <t>TRX0157</t>
  </si>
  <si>
    <t>TRX0002</t>
  </si>
  <si>
    <t>TRX0217</t>
  </si>
  <si>
    <t>TRX0249</t>
  </si>
  <si>
    <t>TRX0065</t>
  </si>
  <si>
    <t>CUST016</t>
  </si>
  <si>
    <t>Elizabeth Hall</t>
  </si>
  <si>
    <t>TRX0176</t>
  </si>
  <si>
    <t>TRX0101</t>
  </si>
  <si>
    <t>TRX0205</t>
  </si>
  <si>
    <t>TRX0020</t>
  </si>
  <si>
    <t>TRX0075</t>
  </si>
  <si>
    <t>TRX0098</t>
  </si>
  <si>
    <t>TRX0247</t>
  </si>
  <si>
    <t>TRX0027</t>
  </si>
  <si>
    <t>TRX0140</t>
  </si>
  <si>
    <t>TRX0132</t>
  </si>
  <si>
    <t>TRX0031</t>
  </si>
  <si>
    <t>TRX0236</t>
  </si>
  <si>
    <t>TRX0001</t>
  </si>
  <si>
    <t>CUST039</t>
  </si>
  <si>
    <t>Lawrence Reed</t>
  </si>
  <si>
    <t>TRX0037</t>
  </si>
  <si>
    <t>TRX0058</t>
  </si>
  <si>
    <t>TRX0170</t>
  </si>
  <si>
    <t>CUST034</t>
  </si>
  <si>
    <t>Carol Evans</t>
  </si>
  <si>
    <t>TRX0248</t>
  </si>
  <si>
    <t>CUST032</t>
  </si>
  <si>
    <t>Sandra Phillips</t>
  </si>
  <si>
    <t>TRX0099</t>
  </si>
  <si>
    <t>TRX0074</t>
  </si>
  <si>
    <t>TRX0225</t>
  </si>
  <si>
    <t>TRX0100</t>
  </si>
  <si>
    <t>TRX0142</t>
  </si>
  <si>
    <t>TRX0112</t>
  </si>
  <si>
    <t>TRX0161</t>
  </si>
  <si>
    <t>TRX0108</t>
  </si>
  <si>
    <t>TRX0211</t>
  </si>
  <si>
    <t>TRX0005</t>
  </si>
  <si>
    <t>CUST042</t>
  </si>
  <si>
    <t>Ruth Brooks</t>
  </si>
  <si>
    <t>TRX0195</t>
  </si>
  <si>
    <t>TRX0054</t>
  </si>
  <si>
    <t>TRX0077</t>
  </si>
  <si>
    <t>TRX0111</t>
  </si>
  <si>
    <t>CUST011</t>
  </si>
  <si>
    <t>William White</t>
  </si>
  <si>
    <t>TRX0123</t>
  </si>
  <si>
    <t>TRX0177</t>
  </si>
  <si>
    <t>TRX0119</t>
  </si>
  <si>
    <t>TRX0181</t>
  </si>
  <si>
    <t>TRX0129</t>
  </si>
  <si>
    <t>CUST015</t>
  </si>
  <si>
    <t>Richard Lee</t>
  </si>
  <si>
    <t>TRX0174</t>
  </si>
  <si>
    <t>TRX0146</t>
  </si>
  <si>
    <t>TRX0203</t>
  </si>
  <si>
    <t>TRX0055</t>
  </si>
  <si>
    <t>TRX0218</t>
  </si>
  <si>
    <t>TRX0085</t>
  </si>
  <si>
    <t>TRX0158</t>
  </si>
  <si>
    <t>TRX0173</t>
  </si>
  <si>
    <t>TRX0034</t>
  </si>
  <si>
    <t>TRX0189</t>
  </si>
  <si>
    <t>TRX0190</t>
  </si>
  <si>
    <t>TRX0079</t>
  </si>
  <si>
    <t>TRX0095</t>
  </si>
  <si>
    <t>TRX0009</t>
  </si>
  <si>
    <t>TRX0167</t>
  </si>
  <si>
    <t>TRX0153</t>
  </si>
  <si>
    <t>TRX0057</t>
  </si>
  <si>
    <t>TRX0017</t>
  </si>
  <si>
    <t>TRX0060</t>
  </si>
  <si>
    <t>TRX0109</t>
  </si>
  <si>
    <t>TRX0090</t>
  </si>
  <si>
    <t>TRX0035</t>
  </si>
  <si>
    <t>TRX0172</t>
  </si>
  <si>
    <t>TRX0076</t>
  </si>
  <si>
    <t>TRX0210</t>
  </si>
  <si>
    <t>TRX0149</t>
  </si>
  <si>
    <t>TRX0073</t>
  </si>
  <si>
    <t>TRX0033</t>
  </si>
  <si>
    <t>TRX0160</t>
  </si>
  <si>
    <t>TRX0145</t>
  </si>
  <si>
    <t>TRX0148</t>
  </si>
  <si>
    <t>TRX0012</t>
  </si>
  <si>
    <t>CUST045</t>
  </si>
  <si>
    <t>Douglas Watson</t>
  </si>
  <si>
    <t>TRX0206</t>
  </si>
  <si>
    <t>TRX0045</t>
  </si>
  <si>
    <t>TRX0094</t>
  </si>
  <si>
    <t>TRX0133</t>
  </si>
  <si>
    <t>TRX0201</t>
  </si>
  <si>
    <t>TRX0137</t>
  </si>
  <si>
    <t>TRX0066</t>
  </si>
  <si>
    <t>TRX0180</t>
  </si>
  <si>
    <t>TRX0082</t>
  </si>
  <si>
    <t>CUST005</t>
  </si>
  <si>
    <t>James Johnson</t>
  </si>
  <si>
    <t>TRX0036</t>
  </si>
  <si>
    <t>TRX0198</t>
  </si>
  <si>
    <t>TRX0032</t>
  </si>
  <si>
    <t>TRX0081</t>
  </si>
  <si>
    <t>TRX0224</t>
  </si>
  <si>
    <t>TRX0028</t>
  </si>
  <si>
    <t>TRX0183</t>
  </si>
  <si>
    <t>TRX0163</t>
  </si>
  <si>
    <t>TRX0046</t>
  </si>
  <si>
    <t>TRX0164</t>
  </si>
  <si>
    <t>TRX0008</t>
  </si>
  <si>
    <t>TRX0171</t>
  </si>
  <si>
    <t>TRX0143</t>
  </si>
  <si>
    <t>TRX0165</t>
  </si>
  <si>
    <t>TRX0156</t>
  </si>
  <si>
    <t>TRX0147</t>
  </si>
  <si>
    <t>TRX0207</t>
  </si>
  <si>
    <t>TRX0056</t>
  </si>
  <si>
    <t>TRX0026</t>
  </si>
  <si>
    <t>CUST037</t>
  </si>
  <si>
    <t>Arthur Edwards</t>
  </si>
  <si>
    <t>TRX0237</t>
  </si>
  <si>
    <t>TRX0091</t>
  </si>
  <si>
    <t>TRX0125</t>
  </si>
  <si>
    <t>TRX0223</t>
  </si>
  <si>
    <t>TRX0243</t>
  </si>
  <si>
    <t>TRX0084</t>
  </si>
  <si>
    <t>TRX0238</t>
  </si>
  <si>
    <t>TRX0102</t>
  </si>
  <si>
    <t>TRX0022</t>
  </si>
  <si>
    <t>TRX0087</t>
  </si>
  <si>
    <t>TRX0107</t>
  </si>
  <si>
    <t>TRX0051</t>
  </si>
  <si>
    <t>TRX0106</t>
  </si>
  <si>
    <t>TRX0059</t>
  </si>
  <si>
    <t>TRX0072</t>
  </si>
  <si>
    <t>TRX0110</t>
  </si>
  <si>
    <t>TRX0126</t>
  </si>
  <si>
    <t>TRX0159</t>
  </si>
  <si>
    <t>TRX0030</t>
  </si>
  <si>
    <t>TRX0178</t>
  </si>
  <si>
    <t>TRX0188</t>
  </si>
  <si>
    <t>TRX0010</t>
  </si>
  <si>
    <t>TRX0069</t>
  </si>
  <si>
    <t>TRX0166</t>
  </si>
  <si>
    <t>TRX0219</t>
  </si>
  <si>
    <t>TRX0024</t>
  </si>
  <si>
    <t>TRX0105</t>
  </si>
  <si>
    <t>TRX0011</t>
  </si>
  <si>
    <t>TRX0187</t>
  </si>
  <si>
    <t>TRX0089</t>
  </si>
  <si>
    <t>TRX0196</t>
  </si>
  <si>
    <t>TRX0118</t>
  </si>
  <si>
    <t>TRX0179</t>
  </si>
  <si>
    <t>TRX0168</t>
  </si>
  <si>
    <t>TRX0214</t>
  </si>
  <si>
    <t>TRX0221</t>
  </si>
  <si>
    <t>TRX0083</t>
  </si>
  <si>
    <t>TRX0151</t>
  </si>
  <si>
    <t>TRX0047</t>
  </si>
  <si>
    <t>TRX0200</t>
  </si>
  <si>
    <t>TRX0062</t>
  </si>
  <si>
    <t>TRX0182</t>
  </si>
  <si>
    <t>TRX0229</t>
  </si>
  <si>
    <t>TRX0048</t>
  </si>
  <si>
    <t>TRX0227</t>
  </si>
  <si>
    <t>TRX0226</t>
  </si>
  <si>
    <t>TRX0053</t>
  </si>
  <si>
    <t>TRX0233</t>
  </si>
  <si>
    <t>TRX0175</t>
  </si>
  <si>
    <t>TRX0186</t>
  </si>
  <si>
    <t>TRX0016</t>
  </si>
  <si>
    <t>TRX0199</t>
  </si>
  <si>
    <t>TRX0038</t>
  </si>
  <si>
    <t>TRX0014</t>
  </si>
  <si>
    <t>TRX0003</t>
  </si>
  <si>
    <t>TRX0124</t>
  </si>
  <si>
    <t>TRX0013</t>
  </si>
  <si>
    <t>TRX0019</t>
  </si>
  <si>
    <t>TRX0050</t>
  </si>
  <si>
    <t>CUST001</t>
  </si>
  <si>
    <t>John Smith</t>
  </si>
  <si>
    <t>TRX0152</t>
  </si>
  <si>
    <t>TRX0213</t>
  </si>
  <si>
    <t>TRX0197</t>
  </si>
  <si>
    <t>TRX0250</t>
  </si>
  <si>
    <t>TRX0068</t>
  </si>
  <si>
    <t>TRX0144</t>
  </si>
  <si>
    <t>TRX0039</t>
  </si>
  <si>
    <t>TRX0116</t>
  </si>
  <si>
    <t>TRX0120</t>
  </si>
  <si>
    <t>TRX0103</t>
  </si>
  <si>
    <t>TRX0064</t>
  </si>
  <si>
    <t>DATA INTELLIGENCE | ANALYSIS</t>
  </si>
  <si>
    <t>Core KPI</t>
  </si>
  <si>
    <t>Value</t>
  </si>
  <si>
    <t>Revenue</t>
  </si>
  <si>
    <t>Transactions</t>
  </si>
  <si>
    <t>Total Revenue</t>
  </si>
  <si>
    <t>2024-04</t>
  </si>
  <si>
    <t>Total Transactions</t>
  </si>
  <si>
    <t>2024-05</t>
  </si>
  <si>
    <t>Units Sold</t>
  </si>
  <si>
    <t>2024-06</t>
  </si>
  <si>
    <t>Average Transaction</t>
  </si>
  <si>
    <t>2024-07</t>
  </si>
  <si>
    <t>Unique Customers</t>
  </si>
  <si>
    <t>2024-08</t>
  </si>
  <si>
    <t>Latest Transaction</t>
  </si>
  <si>
    <t>2024-09</t>
  </si>
  <si>
    <t>Report Date</t>
  </si>
  <si>
    <t>2024-10</t>
  </si>
  <si>
    <t>Current Date-Time</t>
  </si>
  <si>
    <t>2024-11</t>
  </si>
  <si>
    <t>2024-12</t>
  </si>
  <si>
    <t>2025-01</t>
  </si>
  <si>
    <t>2025-02</t>
  </si>
  <si>
    <t>Product</t>
  </si>
  <si>
    <t>Transaction Count</t>
  </si>
  <si>
    <t>Customer</t>
  </si>
  <si>
    <t>2025-03</t>
  </si>
  <si>
    <t>2025-04</t>
  </si>
  <si>
    <t>PIVOT TABLES | CUSTOMER TRANSACTION SUMMARY</t>
  </si>
  <si>
    <t>1. REVENUE &amp; UNITS BY CATEGORY</t>
  </si>
  <si>
    <t>2. PERFORMANCE BY REGION</t>
  </si>
  <si>
    <t>Avg. Order Value</t>
  </si>
  <si>
    <t>3. PRODUCT PERFORMANCE</t>
  </si>
  <si>
    <t>4. CUSTOMER SEGMENT</t>
  </si>
  <si>
    <t>Segment</t>
  </si>
  <si>
    <t>5. PAYMENT METHOD SUMMARY</t>
  </si>
  <si>
    <t>6. MONTHLY TREND</t>
  </si>
  <si>
    <t>Payment Method</t>
  </si>
  <si>
    <t>VISUALIZATION STUDIO | CHARTS &amp; TRENDS</t>
  </si>
  <si>
    <t>Revenue by Category</t>
  </si>
  <si>
    <t>Revenue by Region</t>
  </si>
  <si>
    <t>Units by Product</t>
  </si>
  <si>
    <t>Monthly Revenue</t>
  </si>
  <si>
    <t>WHAT-IF ANALYSIS &amp; REGRESSION WORKBENCH</t>
  </si>
  <si>
    <t>Scenario</t>
  </si>
  <si>
    <t>Quantity multiplier</t>
  </si>
  <si>
    <t>Price multiplier</t>
  </si>
  <si>
    <t>Projected revenue</t>
  </si>
  <si>
    <t>Conservative</t>
  </si>
  <si>
    <t>Base case</t>
  </si>
  <si>
    <t>Growth</t>
  </si>
  <si>
    <t>Goal Seek setup</t>
  </si>
  <si>
    <t>Target revenue</t>
  </si>
  <si>
    <t>Quantity multiplier (changing cell)</t>
  </si>
  <si>
    <t>Linear regression (monthly revenue vs month index)</t>
  </si>
  <si>
    <t>Metric</t>
  </si>
  <si>
    <t>Formula / result</t>
  </si>
  <si>
    <t>Slope</t>
  </si>
  <si>
    <t>Intercept</t>
  </si>
  <si>
    <t>R-squared</t>
  </si>
  <si>
    <t>Data Analysis ToolPak steps</t>
  </si>
  <si>
    <t xml:space="preserve">✦ CUSTOMER TRANSACTION INTELLIGENCE DASHBOARD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</si>
</sst>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&quot;$&quot;#,##0.00"/>
    <numFmt numFmtId="165" formatCode="dd\-mmm\-yyyy"/>
    <numFmt numFmtId="166" formatCode="yyyy\-mm\-dd\ hh:mm:ss"/>
    <numFmt numFmtId="167" formatCode="dd\-mmm\-yyyy\ hh:mm"/>
    <numFmt numFmtId="168" formatCode="\$#,##0.00"/>
    <numFmt numFmtId="169" formatCode="mmm\ yyyy"/>
  </numFmts>
  <fonts count="15" x14ac:knownFonts="1"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8"/>
      <color rgb="FFFFFFFF"/>
      <name val="Aptos Display"/>
      <family val="2"/>
    </font>
    <font>
      <b/>
      <sz val="11"/>
      <color rgb="FFFFFFFF"/>
      <name val="Calibri"/>
      <family val="2"/>
    </font>
    <font>
      <b/>
      <sz val="11"/>
      <color rgb="FF17365D"/>
      <name val="Calibri"/>
      <family val="2"/>
    </font>
    <font>
      <b/>
      <sz val="10"/>
      <color rgb="FFFFFFFF"/>
      <name val="Calibri"/>
      <family val="2"/>
    </font>
    <font>
      <b/>
      <sz val="16"/>
      <color rgb="FF17365D"/>
      <name val="Calibri"/>
      <family val="2"/>
    </font>
    <font>
      <i/>
      <sz val="10"/>
      <color rgb="FF44546A"/>
      <name val="Calibri"/>
      <family val="2"/>
    </font>
    <font>
      <b/>
      <sz val="10"/>
      <color rgb="FF9C0006"/>
      <name val="Calibri"/>
      <family val="2"/>
    </font>
    <font>
      <b/>
      <sz val="11"/>
      <color rgb="FFFFFFFF"/>
      <name val="Calibri"/>
      <family val="2"/>
    </font>
    <font>
      <sz val="12"/>
      <color theme="10"/>
      <name val="Calibri"/>
      <family val="2"/>
      <scheme val="minor"/>
    </font>
    <font>
      <b/>
      <u/>
      <sz val="11"/>
      <color rgb="FF0563C1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17365D"/>
      </patternFill>
    </fill>
    <fill>
      <patternFill patternType="solid">
        <fgColor rgb="FF00A6A6"/>
      </patternFill>
    </fill>
    <fill>
      <patternFill patternType="solid">
        <fgColor rgb="FFF3F6FA"/>
      </patternFill>
    </fill>
    <fill>
      <patternFill patternType="solid">
        <fgColor rgb="FFE2F0D9"/>
      </patternFill>
    </fill>
    <fill>
      <patternFill patternType="solid">
        <fgColor rgb="FFFFF2CC"/>
      </patternFill>
    </fill>
    <fill>
      <patternFill patternType="solid">
        <fgColor rgb="FFD9EAF7"/>
      </patternFill>
    </fill>
    <fill>
      <patternFill patternType="solid">
        <fgColor rgb="FF0F6B78"/>
      </patternFill>
    </fill>
    <fill>
      <patternFill patternType="solid">
        <fgColor rgb="FF1F4E78"/>
      </patternFill>
    </fill>
    <fill>
      <patternFill patternType="solid">
        <fgColor rgb="FFF4F8FB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B7C9D6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3" fillId="0" borderId="3"/>
  </cellStyleXfs>
  <cellXfs count="50">
    <xf numFmtId="0" fontId="0" fillId="0" borderId="0" xfId="0"/>
    <xf numFmtId="0" fontId="1" fillId="0" borderId="0" xfId="0" applyFont="1"/>
    <xf numFmtId="0" fontId="3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7" fillId="7" borderId="0" xfId="0" applyFont="1" applyFill="1" applyAlignment="1">
      <alignment vertical="center"/>
    </xf>
    <xf numFmtId="0" fontId="2" fillId="2" borderId="1" xfId="0" applyFont="1" applyFill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3" fillId="0" borderId="0" xfId="0" applyFont="1" applyAlignment="1">
      <alignment vertical="top" wrapText="1"/>
    </xf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165" fontId="3" fillId="0" borderId="0" xfId="0" applyNumberFormat="1" applyFont="1" applyAlignment="1">
      <alignment vertical="center"/>
    </xf>
    <xf numFmtId="164" fontId="3" fillId="0" borderId="0" xfId="0" applyNumberFormat="1" applyFont="1" applyAlignment="1">
      <alignment vertical="center"/>
    </xf>
    <xf numFmtId="0" fontId="0" fillId="0" borderId="0" xfId="0" applyAlignment="1">
      <alignment vertical="center"/>
    </xf>
    <xf numFmtId="166" fontId="0" fillId="0" borderId="0" xfId="0" applyNumberFormat="1" applyAlignment="1">
      <alignment vertical="center"/>
    </xf>
    <xf numFmtId="0" fontId="6" fillId="4" borderId="0" xfId="0" applyFont="1" applyFill="1" applyAlignment="1">
      <alignment vertical="center" wrapText="1"/>
    </xf>
    <xf numFmtId="0" fontId="0" fillId="5" borderId="0" xfId="0" applyFill="1" applyAlignment="1">
      <alignment vertical="center"/>
    </xf>
    <xf numFmtId="164" fontId="0" fillId="6" borderId="0" xfId="0" applyNumberFormat="1" applyFill="1" applyAlignment="1">
      <alignment vertical="center"/>
    </xf>
    <xf numFmtId="164" fontId="0" fillId="0" borderId="0" xfId="0" applyNumberFormat="1"/>
    <xf numFmtId="164" fontId="0" fillId="0" borderId="0" xfId="0" applyNumberFormat="1" applyAlignment="1">
      <alignment vertical="center"/>
    </xf>
    <xf numFmtId="0" fontId="0" fillId="6" borderId="0" xfId="0" applyFill="1" applyAlignment="1">
      <alignment vertical="center"/>
    </xf>
    <xf numFmtId="165" fontId="0" fillId="6" borderId="0" xfId="0" applyNumberFormat="1" applyFill="1" applyAlignment="1">
      <alignment vertical="center"/>
    </xf>
    <xf numFmtId="167" fontId="0" fillId="6" borderId="0" xfId="0" applyNumberFormat="1" applyFill="1" applyAlignment="1">
      <alignment vertical="center"/>
    </xf>
    <xf numFmtId="164" fontId="6" fillId="4" borderId="0" xfId="0" applyNumberFormat="1" applyFont="1" applyFill="1" applyAlignment="1">
      <alignment vertical="center" wrapText="1"/>
    </xf>
    <xf numFmtId="0" fontId="6" fillId="4" borderId="0" xfId="0" applyFont="1" applyFill="1" applyAlignment="1">
      <alignment vertical="center"/>
    </xf>
    <xf numFmtId="9" fontId="0" fillId="0" borderId="0" xfId="0" applyNumberFormat="1" applyAlignment="1">
      <alignment vertical="center"/>
    </xf>
    <xf numFmtId="0" fontId="0" fillId="0" borderId="0" xfId="0" applyAlignment="1">
      <alignment vertical="top" wrapText="1"/>
    </xf>
    <xf numFmtId="0" fontId="0" fillId="0" borderId="0" xfId="0" applyAlignment="1">
      <alignment wrapText="1"/>
    </xf>
    <xf numFmtId="0" fontId="14" fillId="0" borderId="3" xfId="1" applyFont="1"/>
    <xf numFmtId="0" fontId="6" fillId="10" borderId="2" xfId="0" applyFont="1" applyFill="1" applyBorder="1" applyAlignment="1">
      <alignment vertical="center" wrapText="1"/>
    </xf>
    <xf numFmtId="0" fontId="0" fillId="0" borderId="2" xfId="0" applyBorder="1" applyAlignment="1">
      <alignment vertical="center"/>
    </xf>
    <xf numFmtId="168" fontId="0" fillId="0" borderId="2" xfId="0" applyNumberFormat="1" applyBorder="1" applyAlignment="1">
      <alignment vertical="center"/>
    </xf>
    <xf numFmtId="3" fontId="0" fillId="0" borderId="2" xfId="0" applyNumberFormat="1" applyBorder="1" applyAlignment="1">
      <alignment vertical="center"/>
    </xf>
    <xf numFmtId="0" fontId="0" fillId="11" borderId="2" xfId="0" applyFill="1" applyBorder="1" applyAlignment="1">
      <alignment vertical="center"/>
    </xf>
    <xf numFmtId="168" fontId="0" fillId="11" borderId="2" xfId="0" applyNumberFormat="1" applyFill="1" applyBorder="1" applyAlignment="1">
      <alignment vertical="center"/>
    </xf>
    <xf numFmtId="3" fontId="0" fillId="11" borderId="2" xfId="0" applyNumberFormat="1" applyFill="1" applyBorder="1" applyAlignment="1">
      <alignment vertical="center"/>
    </xf>
    <xf numFmtId="169" fontId="0" fillId="0" borderId="2" xfId="0" applyNumberFormat="1" applyBorder="1" applyAlignment="1">
      <alignment vertical="center"/>
    </xf>
    <xf numFmtId="169" fontId="0" fillId="11" borderId="2" xfId="0" applyNumberFormat="1" applyFill="1" applyBorder="1" applyAlignment="1">
      <alignment vertical="center"/>
    </xf>
    <xf numFmtId="0" fontId="0" fillId="12" borderId="4" xfId="0" applyFill="1" applyBorder="1" applyAlignment="1">
      <alignment horizontal="center" vertical="center" wrapText="1"/>
    </xf>
    <xf numFmtId="0" fontId="11" fillId="12" borderId="0" xfId="0" applyFont="1" applyFill="1" applyAlignment="1">
      <alignment vertical="center" wrapText="1"/>
    </xf>
    <xf numFmtId="0" fontId="11" fillId="12" borderId="0" xfId="0" applyFont="1" applyFill="1" applyAlignment="1">
      <alignment horizontal="center" vertical="center" wrapText="1"/>
    </xf>
    <xf numFmtId="0" fontId="6" fillId="12" borderId="0" xfId="0" applyFont="1" applyFill="1" applyAlignment="1">
      <alignment vertical="center"/>
    </xf>
    <xf numFmtId="164" fontId="9" fillId="8" borderId="0" xfId="0" applyNumberFormat="1" applyFont="1" applyFill="1" applyAlignment="1">
      <alignment horizontal="center" vertical="center" wrapText="1"/>
    </xf>
    <xf numFmtId="0" fontId="0" fillId="0" borderId="0" xfId="0"/>
    <xf numFmtId="0" fontId="9" fillId="8" borderId="0" xfId="0" applyFont="1" applyFill="1" applyAlignment="1">
      <alignment horizontal="center" vertical="center" wrapText="1"/>
    </xf>
    <xf numFmtId="3" fontId="9" fillId="8" borderId="0" xfId="0" applyNumberFormat="1" applyFont="1" applyFill="1" applyAlignment="1">
      <alignment horizontal="center" vertical="center" wrapText="1"/>
    </xf>
    <xf numFmtId="0" fontId="5" fillId="3" borderId="0" xfId="0" applyFont="1" applyFill="1" applyAlignment="1">
      <alignment vertical="center"/>
    </xf>
    <xf numFmtId="0" fontId="8" fillId="4" borderId="0" xfId="0" applyFont="1" applyFill="1" applyAlignment="1">
      <alignment horizontal="center"/>
    </xf>
    <xf numFmtId="0" fontId="12" fillId="9" borderId="0" xfId="0" applyFont="1" applyFill="1" applyAlignment="1">
      <alignment horizontal="left"/>
    </xf>
    <xf numFmtId="0" fontId="10" fillId="0" borderId="0" xfId="0" applyFont="1" applyAlignment="1">
      <alignment vertical="center" wrapText="1"/>
    </xf>
    <xf numFmtId="0" fontId="5" fillId="3" borderId="0" xfId="0" applyFont="1" applyFill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Revenue by Category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Visualizations!$B$3</c:f>
              <c:strCache>
                <c:ptCount val="1"/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Visualizations!$A$4:$A$6</c:f>
              <c:strCache>
                <c:ptCount val="3"/>
                <c:pt idx="0">
                  <c:v>Appliances</c:v>
                </c:pt>
                <c:pt idx="1">
                  <c:v>Electronics</c:v>
                </c:pt>
                <c:pt idx="2">
                  <c:v>Furniture</c:v>
                </c:pt>
              </c:strCache>
            </c:strRef>
          </c:cat>
          <c:val>
            <c:numRef>
              <c:f>Visualizations!$B$4:$B$6</c:f>
              <c:numCache>
                <c:formatCode>General</c:formatCode>
                <c:ptCount val="3"/>
                <c:pt idx="0">
                  <c:v>8338.7399999999961</c:v>
                </c:pt>
                <c:pt idx="1">
                  <c:v>171756.05000000013</c:v>
                </c:pt>
                <c:pt idx="2">
                  <c:v>49097.680000000015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6F-487E-BA61-82CBD74F19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Revenue Trend by Month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Visualizations!$K$3</c:f>
              <c:strCache>
                <c:ptCount val="1"/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Visualizations!$J$4:$J$16</c:f>
              <c:strCache>
                <c:ptCount val="13"/>
                <c:pt idx="0">
                  <c:v>2024-04</c:v>
                </c:pt>
                <c:pt idx="1">
                  <c:v>2024-05</c:v>
                </c:pt>
                <c:pt idx="2">
                  <c:v>2024-06</c:v>
                </c:pt>
                <c:pt idx="3">
                  <c:v>2024-07</c:v>
                </c:pt>
                <c:pt idx="4">
                  <c:v>2024-08</c:v>
                </c:pt>
                <c:pt idx="5">
                  <c:v>2024-09</c:v>
                </c:pt>
                <c:pt idx="6">
                  <c:v>2024-10</c:v>
                </c:pt>
                <c:pt idx="7">
                  <c:v>2024-11</c:v>
                </c:pt>
                <c:pt idx="8">
                  <c:v>2024-12</c:v>
                </c:pt>
                <c:pt idx="9">
                  <c:v>2025-01</c:v>
                </c:pt>
                <c:pt idx="10">
                  <c:v>2025-02</c:v>
                </c:pt>
                <c:pt idx="11">
                  <c:v>2025-03</c:v>
                </c:pt>
                <c:pt idx="12">
                  <c:v>2025-04</c:v>
                </c:pt>
              </c:strCache>
            </c:strRef>
          </c:cat>
          <c:val>
            <c:numRef>
              <c:f>Visualizations!$K$4:$K$16</c:f>
              <c:numCache>
                <c:formatCode>General</c:formatCode>
                <c:ptCount val="13"/>
                <c:pt idx="0">
                  <c:v>20919.330000000002</c:v>
                </c:pt>
                <c:pt idx="1">
                  <c:v>17039.349999999999</c:v>
                </c:pt>
                <c:pt idx="2">
                  <c:v>19299.45</c:v>
                </c:pt>
                <c:pt idx="3">
                  <c:v>18479.399999999994</c:v>
                </c:pt>
                <c:pt idx="4">
                  <c:v>15759.429999999997</c:v>
                </c:pt>
                <c:pt idx="5">
                  <c:v>12989.509999999997</c:v>
                </c:pt>
                <c:pt idx="6">
                  <c:v>20609.52</c:v>
                </c:pt>
                <c:pt idx="7">
                  <c:v>12309.439999999999</c:v>
                </c:pt>
                <c:pt idx="8">
                  <c:v>23039.3</c:v>
                </c:pt>
                <c:pt idx="9">
                  <c:v>25799.15</c:v>
                </c:pt>
                <c:pt idx="10">
                  <c:v>16069.379999999997</c:v>
                </c:pt>
                <c:pt idx="11">
                  <c:v>19899.379999999997</c:v>
                </c:pt>
                <c:pt idx="12">
                  <c:v>6979.829999999999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C16-4395-AC4D-3C165E4354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Revenue ($)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Revenue by Region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tx>
            <c:strRef>
              <c:f>Visualizations!$E$3</c:f>
              <c:strCache>
                <c:ptCount val="1"/>
              </c:strCache>
            </c:strRef>
          </c:tx>
          <c:spPr>
            <a:ln>
              <a:prstDash val="solid"/>
            </a:ln>
          </c:spPr>
          <c:cat>
            <c:strRef>
              <c:f>Visualizations!$D$4:$D$8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Visualizations!$E$4:$E$8</c:f>
              <c:numCache>
                <c:formatCode>General</c:formatCode>
                <c:ptCount val="5"/>
                <c:pt idx="0">
                  <c:v>41288.340000000018</c:v>
                </c:pt>
                <c:pt idx="1">
                  <c:v>59288.389999999992</c:v>
                </c:pt>
                <c:pt idx="2">
                  <c:v>50808.310000000012</c:v>
                </c:pt>
                <c:pt idx="3">
                  <c:v>36398.750000000007</c:v>
                </c:pt>
                <c:pt idx="4">
                  <c:v>41408.680000000015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BD-4F20-9ABF-02416DA4DA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Units Sold by Product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Visualizations!$H$3</c:f>
              <c:strCache>
                <c:ptCount val="1"/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Visualizations!$G$4:$G$13</c:f>
              <c:strCache>
                <c:ptCount val="10"/>
                <c:pt idx="0">
                  <c:v>Blender</c:v>
                </c:pt>
                <c:pt idx="1">
                  <c:v>Bookshelf</c:v>
                </c:pt>
                <c:pt idx="2">
                  <c:v>Coffee Maker</c:v>
                </c:pt>
                <c:pt idx="3">
                  <c:v>Desk</c:v>
                </c:pt>
                <c:pt idx="4">
                  <c:v>Headphones</c:v>
                </c:pt>
                <c:pt idx="5">
                  <c:v>Keyboard</c:v>
                </c:pt>
                <c:pt idx="6">
                  <c:v>Laptop</c:v>
                </c:pt>
                <c:pt idx="7">
                  <c:v>Monitor</c:v>
                </c:pt>
                <c:pt idx="8">
                  <c:v>Office Chair</c:v>
                </c:pt>
                <c:pt idx="9">
                  <c:v>Smartphone</c:v>
                </c:pt>
              </c:strCache>
            </c:strRef>
          </c:cat>
          <c:val>
            <c:numRef>
              <c:f>Visualizations!$H$4:$H$13</c:f>
              <c:numCache>
                <c:formatCode>General</c:formatCode>
                <c:ptCount val="10"/>
                <c:pt idx="0">
                  <c:v>87</c:v>
                </c:pt>
                <c:pt idx="1">
                  <c:v>102</c:v>
                </c:pt>
                <c:pt idx="2">
                  <c:v>39</c:v>
                </c:pt>
                <c:pt idx="3">
                  <c:v>78</c:v>
                </c:pt>
                <c:pt idx="4">
                  <c:v>47</c:v>
                </c:pt>
                <c:pt idx="5">
                  <c:v>89</c:v>
                </c:pt>
                <c:pt idx="6">
                  <c:v>75</c:v>
                </c:pt>
                <c:pt idx="7">
                  <c:v>88</c:v>
                </c:pt>
                <c:pt idx="8">
                  <c:v>52</c:v>
                </c:pt>
                <c:pt idx="9">
                  <c:v>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E7-47E9-99E9-97EE157710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Revenue by Category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Visualizations!$B$3</c:f>
              <c:strCache>
                <c:ptCount val="1"/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Visualizations!$A$4:$A$6</c:f>
              <c:strCache>
                <c:ptCount val="3"/>
                <c:pt idx="0">
                  <c:v>Appliances</c:v>
                </c:pt>
                <c:pt idx="1">
                  <c:v>Electronics</c:v>
                </c:pt>
                <c:pt idx="2">
                  <c:v>Furniture</c:v>
                </c:pt>
              </c:strCache>
            </c:strRef>
          </c:cat>
          <c:val>
            <c:numRef>
              <c:f>Visualizations!$B$4:$B$6</c:f>
              <c:numCache>
                <c:formatCode>General</c:formatCode>
                <c:ptCount val="3"/>
                <c:pt idx="0">
                  <c:v>8338.7399999999961</c:v>
                </c:pt>
                <c:pt idx="1">
                  <c:v>171756.05000000013</c:v>
                </c:pt>
                <c:pt idx="2">
                  <c:v>49097.680000000015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5A-43D9-A348-106DFD7228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Revenue ($)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Category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Regional Revenue Share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tx>
            <c:strRef>
              <c:f>Visualizations!$E$3</c:f>
              <c:strCache>
                <c:ptCount val="1"/>
              </c:strCache>
            </c:strRef>
          </c:tx>
          <c:spPr>
            <a:ln>
              <a:prstDash val="solid"/>
            </a:ln>
          </c:spPr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Visualizations!$D$4:$D$8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Visualizations!$E$4:$E$8</c:f>
              <c:numCache>
                <c:formatCode>General</c:formatCode>
                <c:ptCount val="5"/>
                <c:pt idx="0">
                  <c:v>41288.340000000018</c:v>
                </c:pt>
                <c:pt idx="1">
                  <c:v>59288.389999999992</c:v>
                </c:pt>
                <c:pt idx="2">
                  <c:v>50808.310000000012</c:v>
                </c:pt>
                <c:pt idx="3">
                  <c:v>36398.750000000007</c:v>
                </c:pt>
                <c:pt idx="4">
                  <c:v>41408.680000000015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96-4068-BC42-CFBF7CDB7526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Monthly Revenue Trend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Visualizations!$K$3</c:f>
              <c:strCache>
                <c:ptCount val="1"/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Visualizations!$J$4:$J$16</c:f>
              <c:strCache>
                <c:ptCount val="13"/>
                <c:pt idx="0">
                  <c:v>2024-04</c:v>
                </c:pt>
                <c:pt idx="1">
                  <c:v>2024-05</c:v>
                </c:pt>
                <c:pt idx="2">
                  <c:v>2024-06</c:v>
                </c:pt>
                <c:pt idx="3">
                  <c:v>2024-07</c:v>
                </c:pt>
                <c:pt idx="4">
                  <c:v>2024-08</c:v>
                </c:pt>
                <c:pt idx="5">
                  <c:v>2024-09</c:v>
                </c:pt>
                <c:pt idx="6">
                  <c:v>2024-10</c:v>
                </c:pt>
                <c:pt idx="7">
                  <c:v>2024-11</c:v>
                </c:pt>
                <c:pt idx="8">
                  <c:v>2024-12</c:v>
                </c:pt>
                <c:pt idx="9">
                  <c:v>2025-01</c:v>
                </c:pt>
                <c:pt idx="10">
                  <c:v>2025-02</c:v>
                </c:pt>
                <c:pt idx="11">
                  <c:v>2025-03</c:v>
                </c:pt>
                <c:pt idx="12">
                  <c:v>2025-04</c:v>
                </c:pt>
              </c:strCache>
            </c:strRef>
          </c:cat>
          <c:val>
            <c:numRef>
              <c:f>Visualizations!$K$4:$K$16</c:f>
              <c:numCache>
                <c:formatCode>General</c:formatCode>
                <c:ptCount val="13"/>
                <c:pt idx="0">
                  <c:v>20919.330000000002</c:v>
                </c:pt>
                <c:pt idx="1">
                  <c:v>17039.349999999999</c:v>
                </c:pt>
                <c:pt idx="2">
                  <c:v>19299.45</c:v>
                </c:pt>
                <c:pt idx="3">
                  <c:v>18479.399999999994</c:v>
                </c:pt>
                <c:pt idx="4">
                  <c:v>15759.429999999997</c:v>
                </c:pt>
                <c:pt idx="5">
                  <c:v>12989.509999999997</c:v>
                </c:pt>
                <c:pt idx="6">
                  <c:v>20609.52</c:v>
                </c:pt>
                <c:pt idx="7">
                  <c:v>12309.439999999999</c:v>
                </c:pt>
                <c:pt idx="8">
                  <c:v>23039.3</c:v>
                </c:pt>
                <c:pt idx="9">
                  <c:v>25799.15</c:v>
                </c:pt>
                <c:pt idx="10">
                  <c:v>16069.379999999997</c:v>
                </c:pt>
                <c:pt idx="11">
                  <c:v>19899.379999999997</c:v>
                </c:pt>
                <c:pt idx="12">
                  <c:v>6979.829999999999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0ED-4DAC-B3FA-5970C8EB2A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Month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Revenue ($)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Units Sold by Product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Visualizations!$H$3</c:f>
              <c:strCache>
                <c:ptCount val="1"/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Visualizations!$G$4:$G$13</c:f>
              <c:strCache>
                <c:ptCount val="10"/>
                <c:pt idx="0">
                  <c:v>Blender</c:v>
                </c:pt>
                <c:pt idx="1">
                  <c:v>Bookshelf</c:v>
                </c:pt>
                <c:pt idx="2">
                  <c:v>Coffee Maker</c:v>
                </c:pt>
                <c:pt idx="3">
                  <c:v>Desk</c:v>
                </c:pt>
                <c:pt idx="4">
                  <c:v>Headphones</c:v>
                </c:pt>
                <c:pt idx="5">
                  <c:v>Keyboard</c:v>
                </c:pt>
                <c:pt idx="6">
                  <c:v>Laptop</c:v>
                </c:pt>
                <c:pt idx="7">
                  <c:v>Monitor</c:v>
                </c:pt>
                <c:pt idx="8">
                  <c:v>Office Chair</c:v>
                </c:pt>
                <c:pt idx="9">
                  <c:v>Smartphone</c:v>
                </c:pt>
              </c:strCache>
            </c:strRef>
          </c:cat>
          <c:val>
            <c:numRef>
              <c:f>Visualizations!$H$4:$H$13</c:f>
              <c:numCache>
                <c:formatCode>General</c:formatCode>
                <c:ptCount val="10"/>
                <c:pt idx="0">
                  <c:v>87</c:v>
                </c:pt>
                <c:pt idx="1">
                  <c:v>102</c:v>
                </c:pt>
                <c:pt idx="2">
                  <c:v>39</c:v>
                </c:pt>
                <c:pt idx="3">
                  <c:v>78</c:v>
                </c:pt>
                <c:pt idx="4">
                  <c:v>47</c:v>
                </c:pt>
                <c:pt idx="5">
                  <c:v>89</c:v>
                </c:pt>
                <c:pt idx="6">
                  <c:v>75</c:v>
                </c:pt>
                <c:pt idx="7">
                  <c:v>88</c:v>
                </c:pt>
                <c:pt idx="8">
                  <c:v>52</c:v>
                </c:pt>
                <c:pt idx="9">
                  <c:v>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95-481A-9605-A193A75003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Product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Units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10</xdr:row>
      <xdr:rowOff>0</xdr:rowOff>
    </xdr:from>
    <xdr:ext cx="432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4</xdr:col>
      <xdr:colOff>152400</xdr:colOff>
      <xdr:row>10</xdr:row>
      <xdr:rowOff>7620</xdr:rowOff>
    </xdr:from>
    <xdr:ext cx="8663940" cy="252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0</xdr:colOff>
      <xdr:row>23</xdr:row>
      <xdr:rowOff>160020</xdr:rowOff>
    </xdr:from>
    <xdr:ext cx="4297680" cy="272574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4</xdr:col>
      <xdr:colOff>175260</xdr:colOff>
      <xdr:row>24</xdr:row>
      <xdr:rowOff>83820</xdr:rowOff>
    </xdr:from>
    <xdr:ext cx="8625840" cy="261906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11</xdr:row>
      <xdr:rowOff>0</xdr:rowOff>
    </xdr:from>
    <xdr:ext cx="432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6</xdr:col>
      <xdr:colOff>0</xdr:colOff>
      <xdr:row>11</xdr:row>
      <xdr:rowOff>0</xdr:rowOff>
    </xdr:from>
    <xdr:ext cx="3600000" cy="252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0</xdr:colOff>
      <xdr:row>26</xdr:row>
      <xdr:rowOff>0</xdr:rowOff>
    </xdr:from>
    <xdr:ext cx="5040000" cy="252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6</xdr:col>
      <xdr:colOff>0</xdr:colOff>
      <xdr:row>26</xdr:row>
      <xdr:rowOff>0</xdr:rowOff>
    </xdr:from>
    <xdr:ext cx="5040000" cy="252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PivotCategory" displayName="PivotCategory" ref="A6:D9">
  <autoFilter ref="A6:D9" xr:uid="{00000000-0009-0000-0100-000002000000}"/>
  <tableColumns count="4">
    <tableColumn id="1" xr3:uid="{00000000-0010-0000-0100-000001000000}" name="Category"/>
    <tableColumn id="2" xr3:uid="{00000000-0010-0000-0100-000002000000}" name="Total Revenue"/>
    <tableColumn id="3" xr3:uid="{00000000-0010-0000-0100-000003000000}" name="Units Sold"/>
    <tableColumn id="4" xr3:uid="{00000000-0010-0000-0100-000004000000}" name="Transaction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PivotRegion" displayName="PivotRegion" ref="E6:H11">
  <autoFilter ref="E6:H11" xr:uid="{00000000-0009-0000-0100-000003000000}"/>
  <tableColumns count="4">
    <tableColumn id="5" xr3:uid="{00000000-0010-0000-0200-000005000000}" name="Region"/>
    <tableColumn id="6" xr3:uid="{00000000-0010-0000-0200-000006000000}" name="Total Revenue"/>
    <tableColumn id="7" xr3:uid="{00000000-0010-0000-0200-000007000000}" name="Transactions"/>
    <tableColumn id="8" xr3:uid="{00000000-0010-0000-0200-000008000000}" name="Avg. Order Valu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PivotProduct" displayName="PivotProduct" ref="A15:D25">
  <autoFilter ref="A15:D25" xr:uid="{00000000-0009-0000-0100-000004000000}"/>
  <tableColumns count="4">
    <tableColumn id="1" xr3:uid="{00000000-0010-0000-0300-000001000000}" name="Product"/>
    <tableColumn id="2" xr3:uid="{00000000-0010-0000-0300-000002000000}" name="Total Revenue"/>
    <tableColumn id="3" xr3:uid="{00000000-0010-0000-0300-000003000000}" name="Units Sold"/>
    <tableColumn id="4" xr3:uid="{00000000-0010-0000-0300-000004000000}" name="Transaction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PivotSegment" displayName="PivotSegment" ref="E15:H18">
  <autoFilter ref="E15:H18" xr:uid="{00000000-0009-0000-0100-000005000000}"/>
  <tableColumns count="4">
    <tableColumn id="5" xr3:uid="{00000000-0010-0000-0400-000005000000}" name="Segment"/>
    <tableColumn id="6" xr3:uid="{00000000-0010-0000-0400-000006000000}" name="Total Revenue"/>
    <tableColumn id="7" xr3:uid="{00000000-0010-0000-0400-000007000000}" name="Transactions"/>
    <tableColumn id="8" xr3:uid="{00000000-0010-0000-0400-000008000000}" name="Avg. Order Valu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PivotPayment" displayName="PivotPayment" ref="A28:C32">
  <autoFilter ref="A28:C32" xr:uid="{00000000-0009-0000-0100-000006000000}"/>
  <tableColumns count="3">
    <tableColumn id="1" xr3:uid="{00000000-0010-0000-0500-000001000000}" name="Payment Method"/>
    <tableColumn id="2" xr3:uid="{00000000-0010-0000-0500-000002000000}" name="Total Revenue"/>
    <tableColumn id="3" xr3:uid="{00000000-0010-0000-0500-000003000000}" name="Transaction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PivotMonthly" displayName="PivotMonthly" ref="E28:G41">
  <autoFilter ref="E28:G41" xr:uid="{00000000-0009-0000-0100-000007000000}"/>
  <tableColumns count="3">
    <tableColumn id="5" xr3:uid="{00000000-0010-0000-0600-000005000000}" name="Month"/>
    <tableColumn id="6" xr3:uid="{00000000-0010-0000-0600-000006000000}" name="Total Revenue"/>
    <tableColumn id="7" xr3:uid="{00000000-0010-0000-0600-000007000000}" name="Transaction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2"/>
  <sheetViews>
    <sheetView zoomScale="83" workbookViewId="0">
      <pane ySplit="2" topLeftCell="A5" activePane="bottomLeft" state="frozen"/>
      <selection pane="bottomLeft" sqref="A1:L1"/>
    </sheetView>
  </sheetViews>
  <sheetFormatPr defaultRowHeight="14.4" x14ac:dyDescent="0.3"/>
  <cols>
    <col min="1" max="1" width="18" customWidth="1"/>
    <col min="2" max="12" width="15" customWidth="1"/>
  </cols>
  <sheetData>
    <row r="1" spans="1:12" ht="31.95" customHeight="1" x14ac:dyDescent="0.3">
      <c r="A1" s="45" t="s">
        <v>481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</row>
    <row r="2" spans="1:12" x14ac:dyDescent="0.3">
      <c r="A2" s="3" t="s">
        <v>0</v>
      </c>
      <c r="B2" s="4" t="s">
        <v>1</v>
      </c>
      <c r="D2" s="3" t="s">
        <v>2</v>
      </c>
      <c r="E2" s="4" t="s">
        <v>3</v>
      </c>
      <c r="G2" s="3" t="s">
        <v>4</v>
      </c>
      <c r="H2" s="4" t="s">
        <v>5</v>
      </c>
    </row>
    <row r="4" spans="1:12" x14ac:dyDescent="0.3">
      <c r="A4" s="46" t="s">
        <v>6</v>
      </c>
      <c r="B4" s="42"/>
      <c r="D4" s="46" t="s">
        <v>7</v>
      </c>
      <c r="E4" s="42"/>
      <c r="G4" s="46" t="s">
        <v>8</v>
      </c>
      <c r="H4" s="42"/>
      <c r="J4" s="46" t="s">
        <v>9</v>
      </c>
      <c r="K4" s="42"/>
    </row>
    <row r="5" spans="1:12" x14ac:dyDescent="0.3">
      <c r="A5" s="41">
        <f>Analysis!B4</f>
        <v>229192.47000000032</v>
      </c>
      <c r="B5" s="42"/>
      <c r="D5" s="44">
        <f>Analysis!B5</f>
        <v>250</v>
      </c>
      <c r="E5" s="42"/>
      <c r="G5" s="44">
        <f>Analysis!B6</f>
        <v>753</v>
      </c>
      <c r="H5" s="42"/>
      <c r="J5" s="41">
        <f>Analysis!B7</f>
        <v>916.76988000000131</v>
      </c>
      <c r="K5" s="42"/>
    </row>
    <row r="6" spans="1:12" x14ac:dyDescent="0.3">
      <c r="A6" s="42"/>
      <c r="B6" s="42"/>
      <c r="D6" s="42"/>
      <c r="E6" s="42"/>
      <c r="G6" s="42"/>
      <c r="H6" s="42"/>
      <c r="J6" s="42"/>
      <c r="K6" s="42"/>
    </row>
    <row r="7" spans="1:12" x14ac:dyDescent="0.3">
      <c r="A7" s="46" t="s">
        <v>10</v>
      </c>
      <c r="B7" s="42"/>
      <c r="D7" s="46" t="s">
        <v>11</v>
      </c>
      <c r="E7" s="42"/>
      <c r="G7" s="46" t="s">
        <v>12</v>
      </c>
      <c r="H7" s="42"/>
      <c r="J7" s="46" t="s">
        <v>13</v>
      </c>
      <c r="K7" s="42"/>
    </row>
    <row r="8" spans="1:12" x14ac:dyDescent="0.3">
      <c r="A8" s="44">
        <f>Analysis!B8</f>
        <v>50.000000000000028</v>
      </c>
      <c r="B8" s="42"/>
      <c r="D8" s="43" t="str">
        <f>INDEX(Analysis!A16:A30,MATCH(MAX(Analysis!B16:B30),Analysis!B16:B30,0))</f>
        <v>Bookshelf</v>
      </c>
      <c r="E8" s="42"/>
      <c r="G8" s="43" t="str">
        <f>INDEX(Analysis!G4:G8,MATCH(MAX(Analysis!H4:H8),Analysis!H4:H8,0))</f>
        <v>East</v>
      </c>
      <c r="H8" s="42"/>
      <c r="J8" s="43" t="str">
        <f>INDEX(Analysis!A16:A30,MATCH(MAX(Analysis!D16:D30),Analysis!D16:D30,0))</f>
        <v>Bookshelf</v>
      </c>
      <c r="K8" s="42"/>
    </row>
    <row r="9" spans="1:12" x14ac:dyDescent="0.3">
      <c r="A9" s="42"/>
      <c r="B9" s="42"/>
      <c r="D9" s="42"/>
      <c r="E9" s="42"/>
      <c r="G9" s="42"/>
      <c r="H9" s="42"/>
      <c r="J9" s="42"/>
      <c r="K9" s="42"/>
    </row>
    <row r="42" spans="1:2" ht="30" customHeight="1" x14ac:dyDescent="0.3">
      <c r="A42" s="27"/>
      <c r="B42" s="37"/>
    </row>
  </sheetData>
  <mergeCells count="17">
    <mergeCell ref="J8:K9"/>
    <mergeCell ref="J5:K6"/>
    <mergeCell ref="G8:H9"/>
    <mergeCell ref="A8:B9"/>
    <mergeCell ref="A1:L1"/>
    <mergeCell ref="J7:K7"/>
    <mergeCell ref="D5:E6"/>
    <mergeCell ref="A5:B6"/>
    <mergeCell ref="G5:H6"/>
    <mergeCell ref="D4:E4"/>
    <mergeCell ref="A4:B4"/>
    <mergeCell ref="G4:H4"/>
    <mergeCell ref="J4:K4"/>
    <mergeCell ref="D8:E9"/>
    <mergeCell ref="D7:E7"/>
    <mergeCell ref="A7:B7"/>
    <mergeCell ref="G7:H7"/>
  </mergeCells>
  <dataValidations count="3">
    <dataValidation type="list" sqref="E2" xr:uid="{00000000-0002-0000-0000-000000000000}">
      <formula1>"All regions,Central,East,North,South,West"</formula1>
    </dataValidation>
    <dataValidation type="list" sqref="H2" xr:uid="{00000000-0002-0000-0000-000001000000}">
      <formula1>"All segments,Basic,Premium,Standard"</formula1>
    </dataValidation>
    <dataValidation type="list" sqref="B2" xr:uid="{00000000-0002-0000-0000-000002000000}">
      <formula1>"All dates,2024 Q2,2024 Q3,2024 Q4"</formula1>
    </dataValidation>
  </dataValidation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1000"/>
  <sheetViews>
    <sheetView tabSelected="1" workbookViewId="0"/>
  </sheetViews>
  <sheetFormatPr defaultColWidth="14.44140625" defaultRowHeight="15" customHeight="1" x14ac:dyDescent="0.3"/>
  <cols>
    <col min="1" max="1" width="110" customWidth="1"/>
    <col min="2" max="25" width="8.6640625" customWidth="1"/>
  </cols>
  <sheetData>
    <row r="1" spans="1:25" ht="14.4" x14ac:dyDescent="0.3">
      <c r="A1" s="5" t="s">
        <v>14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409.6" x14ac:dyDescent="0.3">
      <c r="A2" s="6" t="s">
        <v>15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4.4" x14ac:dyDescent="0.3">
      <c r="A3" s="7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4.4" x14ac:dyDescent="0.3">
      <c r="A4" s="7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4.4" x14ac:dyDescent="0.3">
      <c r="A5" s="7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4.4" x14ac:dyDescent="0.3">
      <c r="A6" s="7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4.4" x14ac:dyDescent="0.3">
      <c r="A7" s="7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4.4" x14ac:dyDescent="0.3">
      <c r="A8" s="7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4.4" x14ac:dyDescent="0.3">
      <c r="A9" s="7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4.4" x14ac:dyDescent="0.3">
      <c r="A10" s="7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4.4" x14ac:dyDescent="0.3">
      <c r="A11" s="7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4.4" x14ac:dyDescent="0.3">
      <c r="A12" s="7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4.4" x14ac:dyDescent="0.3">
      <c r="A13" s="7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4.4" x14ac:dyDescent="0.3">
      <c r="A14" s="7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4.4" x14ac:dyDescent="0.3">
      <c r="A15" s="7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4.4" x14ac:dyDescent="0.3">
      <c r="A16" s="7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4.4" x14ac:dyDescent="0.3">
      <c r="A17" s="7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4.4" x14ac:dyDescent="0.3">
      <c r="A18" s="7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4.4" x14ac:dyDescent="0.3">
      <c r="A19" s="7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4.4" x14ac:dyDescent="0.3">
      <c r="A20" s="7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3">
      <c r="A21" s="7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3">
      <c r="A22" s="7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3">
      <c r="A23" s="7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3">
      <c r="A24" s="7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3">
      <c r="A25" s="7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3">
      <c r="A26" s="7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3">
      <c r="A27" s="7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3">
      <c r="A28" s="7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3">
      <c r="A29" s="7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3">
      <c r="A30" s="7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3">
      <c r="A31" s="7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3">
      <c r="A32" s="7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3">
      <c r="A33" s="7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3">
      <c r="A34" s="7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3">
      <c r="A35" s="7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3">
      <c r="A36" s="7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3">
      <c r="A37" s="7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3">
      <c r="A38" s="7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3">
      <c r="A39" s="7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3">
      <c r="A40" s="7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3">
      <c r="A41" s="7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3">
      <c r="A42" s="7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3">
      <c r="A43" s="7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3">
      <c r="A44" s="7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3">
      <c r="A45" s="7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3">
      <c r="A46" s="7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3">
      <c r="A47" s="7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3">
      <c r="A48" s="7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3">
      <c r="A49" s="7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3">
      <c r="A50" s="7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3">
      <c r="A51" s="7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3">
      <c r="A52" s="7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3">
      <c r="A53" s="7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3">
      <c r="A54" s="7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3">
      <c r="A55" s="7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3">
      <c r="A56" s="7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3">
      <c r="A57" s="7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3">
      <c r="A58" s="7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3">
      <c r="A59" s="7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3">
      <c r="A60" s="7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3">
      <c r="A61" s="7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3">
      <c r="A62" s="7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3">
      <c r="A63" s="7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.75" customHeight="1" x14ac:dyDescent="0.3">
      <c r="A64" s="7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.75" customHeight="1" x14ac:dyDescent="0.3">
      <c r="A65" s="7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.75" customHeight="1" x14ac:dyDescent="0.3">
      <c r="A66" s="7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.75" customHeight="1" x14ac:dyDescent="0.3">
      <c r="A67" s="7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5.75" customHeight="1" x14ac:dyDescent="0.3">
      <c r="A68" s="7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5.75" customHeight="1" x14ac:dyDescent="0.3">
      <c r="A69" s="7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5.75" customHeight="1" x14ac:dyDescent="0.3">
      <c r="A70" s="7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5.75" customHeight="1" x14ac:dyDescent="0.3">
      <c r="A71" s="7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5.75" customHeight="1" x14ac:dyDescent="0.3">
      <c r="A72" s="7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5.75" customHeight="1" x14ac:dyDescent="0.3">
      <c r="A73" s="7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5.75" customHeight="1" x14ac:dyDescent="0.3">
      <c r="A74" s="7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5.75" customHeight="1" x14ac:dyDescent="0.3">
      <c r="A75" s="7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5.75" customHeight="1" x14ac:dyDescent="0.3">
      <c r="A76" s="7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5.75" customHeight="1" x14ac:dyDescent="0.3">
      <c r="A77" s="7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5.75" customHeight="1" x14ac:dyDescent="0.3">
      <c r="A78" s="7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5.75" customHeight="1" x14ac:dyDescent="0.3">
      <c r="A79" s="7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5.75" customHeight="1" x14ac:dyDescent="0.3">
      <c r="A80" s="7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5.75" customHeight="1" x14ac:dyDescent="0.3">
      <c r="A81" s="7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5.75" customHeight="1" x14ac:dyDescent="0.3">
      <c r="A82" s="7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5.75" customHeight="1" x14ac:dyDescent="0.3">
      <c r="A83" s="7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5.75" customHeight="1" x14ac:dyDescent="0.3">
      <c r="A84" s="7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5.75" customHeight="1" x14ac:dyDescent="0.3">
      <c r="A85" s="7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5.75" customHeight="1" x14ac:dyDescent="0.3">
      <c r="A86" s="7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5.75" customHeight="1" x14ac:dyDescent="0.3">
      <c r="A87" s="7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5.75" customHeight="1" x14ac:dyDescent="0.3">
      <c r="A88" s="7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5.75" customHeight="1" x14ac:dyDescent="0.3">
      <c r="A89" s="7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5.75" customHeight="1" x14ac:dyDescent="0.3">
      <c r="A90" s="7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5.75" customHeight="1" x14ac:dyDescent="0.3">
      <c r="A91" s="7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5.75" customHeight="1" x14ac:dyDescent="0.3">
      <c r="A92" s="7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5.75" customHeight="1" x14ac:dyDescent="0.3">
      <c r="A93" s="7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5.75" customHeight="1" x14ac:dyDescent="0.3">
      <c r="A94" s="7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5.75" customHeight="1" x14ac:dyDescent="0.3">
      <c r="A95" s="7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5.75" customHeight="1" x14ac:dyDescent="0.3">
      <c r="A96" s="7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5.75" customHeight="1" x14ac:dyDescent="0.3">
      <c r="A97" s="7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5.75" customHeight="1" x14ac:dyDescent="0.3">
      <c r="A98" s="7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5.75" customHeight="1" x14ac:dyDescent="0.3">
      <c r="A99" s="7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5.75" customHeight="1" x14ac:dyDescent="0.3">
      <c r="A100" s="7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5.75" customHeight="1" x14ac:dyDescent="0.3">
      <c r="A101" s="7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5.75" customHeight="1" x14ac:dyDescent="0.3">
      <c r="A102" s="7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5.75" customHeight="1" x14ac:dyDescent="0.3">
      <c r="A103" s="7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5.75" customHeight="1" x14ac:dyDescent="0.3">
      <c r="A104" s="7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5.75" customHeight="1" x14ac:dyDescent="0.3">
      <c r="A105" s="7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5.75" customHeight="1" x14ac:dyDescent="0.3">
      <c r="A106" s="7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5.75" customHeight="1" x14ac:dyDescent="0.3">
      <c r="A107" s="7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5.75" customHeight="1" x14ac:dyDescent="0.3">
      <c r="A108" s="7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5.75" customHeight="1" x14ac:dyDescent="0.3">
      <c r="A109" s="7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5.75" customHeight="1" x14ac:dyDescent="0.3">
      <c r="A110" s="7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5.75" customHeight="1" x14ac:dyDescent="0.3">
      <c r="A111" s="7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5.75" customHeight="1" x14ac:dyDescent="0.3">
      <c r="A112" s="7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5.75" customHeight="1" x14ac:dyDescent="0.3">
      <c r="A113" s="7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5.75" customHeight="1" x14ac:dyDescent="0.3">
      <c r="A114" s="7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5.75" customHeight="1" x14ac:dyDescent="0.3">
      <c r="A115" s="7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5.75" customHeight="1" x14ac:dyDescent="0.3">
      <c r="A116" s="7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5.75" customHeight="1" x14ac:dyDescent="0.3">
      <c r="A117" s="7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5.75" customHeight="1" x14ac:dyDescent="0.3">
      <c r="A118" s="7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5.75" customHeight="1" x14ac:dyDescent="0.3">
      <c r="A119" s="7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5.75" customHeight="1" x14ac:dyDescent="0.3">
      <c r="A120" s="7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5.75" customHeight="1" x14ac:dyDescent="0.3">
      <c r="A121" s="7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5.75" customHeight="1" x14ac:dyDescent="0.3">
      <c r="A122" s="7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5.75" customHeight="1" x14ac:dyDescent="0.3">
      <c r="A123" s="7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5.75" customHeight="1" x14ac:dyDescent="0.3">
      <c r="A124" s="7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5.75" customHeight="1" x14ac:dyDescent="0.3">
      <c r="A125" s="7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5.75" customHeight="1" x14ac:dyDescent="0.3">
      <c r="A126" s="7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5.75" customHeight="1" x14ac:dyDescent="0.3">
      <c r="A127" s="7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5.75" customHeight="1" x14ac:dyDescent="0.3">
      <c r="A128" s="7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5.75" customHeight="1" x14ac:dyDescent="0.3">
      <c r="A129" s="7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5.75" customHeight="1" x14ac:dyDescent="0.3">
      <c r="A130" s="7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5.75" customHeight="1" x14ac:dyDescent="0.3">
      <c r="A131" s="7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5.75" customHeight="1" x14ac:dyDescent="0.3">
      <c r="A132" s="7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5.75" customHeight="1" x14ac:dyDescent="0.3">
      <c r="A133" s="7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5.75" customHeight="1" x14ac:dyDescent="0.3">
      <c r="A134" s="7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5.75" customHeight="1" x14ac:dyDescent="0.3">
      <c r="A135" s="7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5.75" customHeight="1" x14ac:dyDescent="0.3">
      <c r="A136" s="7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5.75" customHeight="1" x14ac:dyDescent="0.3">
      <c r="A137" s="7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5.75" customHeight="1" x14ac:dyDescent="0.3">
      <c r="A138" s="7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5.75" customHeight="1" x14ac:dyDescent="0.3">
      <c r="A139" s="7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5.75" customHeight="1" x14ac:dyDescent="0.3">
      <c r="A140" s="7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5.75" customHeight="1" x14ac:dyDescent="0.3">
      <c r="A141" s="7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5.75" customHeight="1" x14ac:dyDescent="0.3">
      <c r="A142" s="7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5.75" customHeight="1" x14ac:dyDescent="0.3">
      <c r="A143" s="7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5.75" customHeight="1" x14ac:dyDescent="0.3">
      <c r="A144" s="7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5.75" customHeight="1" x14ac:dyDescent="0.3">
      <c r="A145" s="7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5.75" customHeight="1" x14ac:dyDescent="0.3">
      <c r="A146" s="7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5.75" customHeight="1" x14ac:dyDescent="0.3">
      <c r="A147" s="7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5.75" customHeight="1" x14ac:dyDescent="0.3">
      <c r="A148" s="7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5.75" customHeight="1" x14ac:dyDescent="0.3">
      <c r="A149" s="7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5.75" customHeight="1" x14ac:dyDescent="0.3">
      <c r="A150" s="7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5.75" customHeight="1" x14ac:dyDescent="0.3">
      <c r="A151" s="7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5.75" customHeight="1" x14ac:dyDescent="0.3">
      <c r="A152" s="7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5.75" customHeight="1" x14ac:dyDescent="0.3">
      <c r="A153" s="7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5.75" customHeight="1" x14ac:dyDescent="0.3">
      <c r="A154" s="7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5.75" customHeight="1" x14ac:dyDescent="0.3">
      <c r="A155" s="7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5.75" customHeight="1" x14ac:dyDescent="0.3">
      <c r="A156" s="7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5.75" customHeight="1" x14ac:dyDescent="0.3">
      <c r="A157" s="7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5.75" customHeight="1" x14ac:dyDescent="0.3">
      <c r="A158" s="7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5.75" customHeight="1" x14ac:dyDescent="0.3">
      <c r="A159" s="7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5.75" customHeight="1" x14ac:dyDescent="0.3">
      <c r="A160" s="7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5.75" customHeight="1" x14ac:dyDescent="0.3">
      <c r="A161" s="7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5.75" customHeight="1" x14ac:dyDescent="0.3">
      <c r="A162" s="7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5.75" customHeight="1" x14ac:dyDescent="0.3">
      <c r="A163" s="7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5.75" customHeight="1" x14ac:dyDescent="0.3">
      <c r="A164" s="7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5.75" customHeight="1" x14ac:dyDescent="0.3">
      <c r="A165" s="7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5.75" customHeight="1" x14ac:dyDescent="0.3">
      <c r="A166" s="7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5.75" customHeight="1" x14ac:dyDescent="0.3">
      <c r="A167" s="7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5.75" customHeight="1" x14ac:dyDescent="0.3">
      <c r="A168" s="7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5.75" customHeight="1" x14ac:dyDescent="0.3">
      <c r="A169" s="7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5.75" customHeight="1" x14ac:dyDescent="0.3">
      <c r="A170" s="7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5.75" customHeight="1" x14ac:dyDescent="0.3">
      <c r="A171" s="7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5.75" customHeight="1" x14ac:dyDescent="0.3">
      <c r="A172" s="7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5.75" customHeight="1" x14ac:dyDescent="0.3">
      <c r="A173" s="7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5.75" customHeight="1" x14ac:dyDescent="0.3">
      <c r="A174" s="7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5.75" customHeight="1" x14ac:dyDescent="0.3">
      <c r="A175" s="7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5.75" customHeight="1" x14ac:dyDescent="0.3">
      <c r="A176" s="7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5.75" customHeight="1" x14ac:dyDescent="0.3">
      <c r="A177" s="7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5.75" customHeight="1" x14ac:dyDescent="0.3">
      <c r="A178" s="7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5.75" customHeight="1" x14ac:dyDescent="0.3">
      <c r="A179" s="7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5.75" customHeight="1" x14ac:dyDescent="0.3">
      <c r="A180" s="7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5.75" customHeight="1" x14ac:dyDescent="0.3">
      <c r="A181" s="7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5.75" customHeight="1" x14ac:dyDescent="0.3">
      <c r="A182" s="7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5.75" customHeight="1" x14ac:dyDescent="0.3">
      <c r="A183" s="7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5.75" customHeight="1" x14ac:dyDescent="0.3">
      <c r="A184" s="7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5.75" customHeight="1" x14ac:dyDescent="0.3">
      <c r="A185" s="7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5.75" customHeight="1" x14ac:dyDescent="0.3">
      <c r="A186" s="7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5.75" customHeight="1" x14ac:dyDescent="0.3">
      <c r="A187" s="7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5.75" customHeight="1" x14ac:dyDescent="0.3">
      <c r="A188" s="7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5.75" customHeight="1" x14ac:dyDescent="0.3">
      <c r="A189" s="7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5.75" customHeight="1" x14ac:dyDescent="0.3">
      <c r="A190" s="7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5.75" customHeight="1" x14ac:dyDescent="0.3">
      <c r="A191" s="7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5.75" customHeight="1" x14ac:dyDescent="0.3">
      <c r="A192" s="7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5.75" customHeight="1" x14ac:dyDescent="0.3">
      <c r="A193" s="7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5.75" customHeight="1" x14ac:dyDescent="0.3">
      <c r="A194" s="7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5.75" customHeight="1" x14ac:dyDescent="0.3">
      <c r="A195" s="7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5.75" customHeight="1" x14ac:dyDescent="0.3">
      <c r="A196" s="7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5.75" customHeight="1" x14ac:dyDescent="0.3">
      <c r="A197" s="7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5.75" customHeight="1" x14ac:dyDescent="0.3">
      <c r="A198" s="7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5.75" customHeight="1" x14ac:dyDescent="0.3">
      <c r="A199" s="7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5.75" customHeight="1" x14ac:dyDescent="0.3">
      <c r="A200" s="7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5.75" customHeight="1" x14ac:dyDescent="0.3">
      <c r="A201" s="7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5.75" customHeight="1" x14ac:dyDescent="0.3">
      <c r="A202" s="7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5.75" customHeight="1" x14ac:dyDescent="0.3">
      <c r="A203" s="7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5.75" customHeight="1" x14ac:dyDescent="0.3">
      <c r="A204" s="7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5.75" customHeight="1" x14ac:dyDescent="0.3">
      <c r="A205" s="7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5.75" customHeight="1" x14ac:dyDescent="0.3">
      <c r="A206" s="7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5.75" customHeight="1" x14ac:dyDescent="0.3">
      <c r="A207" s="7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5.75" customHeight="1" x14ac:dyDescent="0.3">
      <c r="A208" s="7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5.75" customHeight="1" x14ac:dyDescent="0.3">
      <c r="A209" s="7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5.75" customHeight="1" x14ac:dyDescent="0.3">
      <c r="A210" s="7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5.75" customHeight="1" x14ac:dyDescent="0.3">
      <c r="A211" s="7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5.75" customHeight="1" x14ac:dyDescent="0.3">
      <c r="A212" s="7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5.75" customHeight="1" x14ac:dyDescent="0.3">
      <c r="A213" s="7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5.75" customHeight="1" x14ac:dyDescent="0.3">
      <c r="A214" s="7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5.75" customHeight="1" x14ac:dyDescent="0.3">
      <c r="A215" s="7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5.75" customHeight="1" x14ac:dyDescent="0.3">
      <c r="A216" s="7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5.75" customHeight="1" x14ac:dyDescent="0.3">
      <c r="A217" s="7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5.75" customHeight="1" x14ac:dyDescent="0.3">
      <c r="A218" s="7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5.75" customHeight="1" x14ac:dyDescent="0.3">
      <c r="A219" s="7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5.75" customHeight="1" x14ac:dyDescent="0.3">
      <c r="A220" s="7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5.75" customHeight="1" x14ac:dyDescent="0.3">
      <c r="A221" s="7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5.75" customHeight="1" x14ac:dyDescent="0.3">
      <c r="A222" s="7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5.75" customHeight="1" x14ac:dyDescent="0.3">
      <c r="A223" s="7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5.75" customHeight="1" x14ac:dyDescent="0.3">
      <c r="A224" s="7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5.75" customHeight="1" x14ac:dyDescent="0.3">
      <c r="A225" s="7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5.75" customHeight="1" x14ac:dyDescent="0.3">
      <c r="A226" s="7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5.75" customHeight="1" x14ac:dyDescent="0.3">
      <c r="A227" s="7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5.75" customHeight="1" x14ac:dyDescent="0.3">
      <c r="A228" s="7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5.75" customHeight="1" x14ac:dyDescent="0.3">
      <c r="A229" s="7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5.75" customHeight="1" x14ac:dyDescent="0.3">
      <c r="A230" s="7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5.75" customHeight="1" x14ac:dyDescent="0.3">
      <c r="A231" s="7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5.75" customHeight="1" x14ac:dyDescent="0.3">
      <c r="A232" s="7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5.75" customHeight="1" x14ac:dyDescent="0.3">
      <c r="A233" s="7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5.75" customHeight="1" x14ac:dyDescent="0.3">
      <c r="A234" s="7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5.75" customHeight="1" x14ac:dyDescent="0.3">
      <c r="A235" s="7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5.75" customHeight="1" x14ac:dyDescent="0.3">
      <c r="A236" s="7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5.75" customHeight="1" x14ac:dyDescent="0.3">
      <c r="A237" s="7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5.75" customHeight="1" x14ac:dyDescent="0.3">
      <c r="A238" s="7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5.75" customHeight="1" x14ac:dyDescent="0.3">
      <c r="A239" s="7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5.75" customHeight="1" x14ac:dyDescent="0.3">
      <c r="A240" s="7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5.75" customHeight="1" x14ac:dyDescent="0.3">
      <c r="A241" s="7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5.75" customHeight="1" x14ac:dyDescent="0.3">
      <c r="A242" s="7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5.75" customHeight="1" x14ac:dyDescent="0.3">
      <c r="A243" s="7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5.75" customHeight="1" x14ac:dyDescent="0.3">
      <c r="A244" s="7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5.75" customHeight="1" x14ac:dyDescent="0.3">
      <c r="A245" s="7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5.75" customHeight="1" x14ac:dyDescent="0.3">
      <c r="A246" s="7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5.75" customHeight="1" x14ac:dyDescent="0.3">
      <c r="A247" s="7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5.75" customHeight="1" x14ac:dyDescent="0.3">
      <c r="A248" s="7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5.75" customHeight="1" x14ac:dyDescent="0.3">
      <c r="A249" s="7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5.75" customHeight="1" x14ac:dyDescent="0.3">
      <c r="A250" s="7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5.75" customHeight="1" x14ac:dyDescent="0.3">
      <c r="A251" s="7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5.75" customHeight="1" x14ac:dyDescent="0.3">
      <c r="A252" s="7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5.75" customHeight="1" x14ac:dyDescent="0.3">
      <c r="A253" s="7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5.75" customHeight="1" x14ac:dyDescent="0.3">
      <c r="A254" s="7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5.75" customHeight="1" x14ac:dyDescent="0.3">
      <c r="A255" s="7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5.75" customHeight="1" x14ac:dyDescent="0.3">
      <c r="A256" s="7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5.75" customHeight="1" x14ac:dyDescent="0.3">
      <c r="A257" s="7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5.75" customHeight="1" x14ac:dyDescent="0.3">
      <c r="A258" s="7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5.75" customHeight="1" x14ac:dyDescent="0.3">
      <c r="A259" s="7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5.75" customHeight="1" x14ac:dyDescent="0.3">
      <c r="A260" s="7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5.75" customHeight="1" x14ac:dyDescent="0.3">
      <c r="A261" s="7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5.75" customHeight="1" x14ac:dyDescent="0.3">
      <c r="A262" s="7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5.75" customHeight="1" x14ac:dyDescent="0.3">
      <c r="A263" s="7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5.75" customHeight="1" x14ac:dyDescent="0.3">
      <c r="A264" s="7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5.75" customHeight="1" x14ac:dyDescent="0.3">
      <c r="A265" s="7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5.75" customHeight="1" x14ac:dyDescent="0.3">
      <c r="A266" s="7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5.75" customHeight="1" x14ac:dyDescent="0.3">
      <c r="A267" s="7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5.75" customHeight="1" x14ac:dyDescent="0.3">
      <c r="A268" s="7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5.75" customHeight="1" x14ac:dyDescent="0.3">
      <c r="A269" s="7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5.75" customHeight="1" x14ac:dyDescent="0.3">
      <c r="A270" s="7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5.75" customHeight="1" x14ac:dyDescent="0.3">
      <c r="A271" s="7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5.75" customHeight="1" x14ac:dyDescent="0.3">
      <c r="A272" s="7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5.75" customHeight="1" x14ac:dyDescent="0.3">
      <c r="A273" s="7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5.75" customHeight="1" x14ac:dyDescent="0.3">
      <c r="A274" s="7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5.75" customHeight="1" x14ac:dyDescent="0.3">
      <c r="A275" s="7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5.75" customHeight="1" x14ac:dyDescent="0.3">
      <c r="A276" s="7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5.75" customHeight="1" x14ac:dyDescent="0.3">
      <c r="A277" s="7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5.75" customHeight="1" x14ac:dyDescent="0.3">
      <c r="A278" s="7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5.75" customHeight="1" x14ac:dyDescent="0.3">
      <c r="A279" s="7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5.75" customHeight="1" x14ac:dyDescent="0.3">
      <c r="A280" s="7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5.75" customHeight="1" x14ac:dyDescent="0.3">
      <c r="A281" s="7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5.75" customHeight="1" x14ac:dyDescent="0.3">
      <c r="A282" s="7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5.75" customHeight="1" x14ac:dyDescent="0.3">
      <c r="A283" s="7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5.75" customHeight="1" x14ac:dyDescent="0.3">
      <c r="A284" s="7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5.75" customHeight="1" x14ac:dyDescent="0.3">
      <c r="A285" s="7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5.75" customHeight="1" x14ac:dyDescent="0.3">
      <c r="A286" s="7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5.75" customHeight="1" x14ac:dyDescent="0.3">
      <c r="A287" s="7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5.75" customHeight="1" x14ac:dyDescent="0.3">
      <c r="A288" s="7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5.75" customHeight="1" x14ac:dyDescent="0.3">
      <c r="A289" s="7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5.75" customHeight="1" x14ac:dyDescent="0.3">
      <c r="A290" s="7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5.75" customHeight="1" x14ac:dyDescent="0.3">
      <c r="A291" s="7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5.75" customHeight="1" x14ac:dyDescent="0.3">
      <c r="A292" s="7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5.75" customHeight="1" x14ac:dyDescent="0.3">
      <c r="A293" s="7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5.75" customHeight="1" x14ac:dyDescent="0.3">
      <c r="A294" s="7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5.75" customHeight="1" x14ac:dyDescent="0.3">
      <c r="A295" s="7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5.75" customHeight="1" x14ac:dyDescent="0.3">
      <c r="A296" s="7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5.75" customHeight="1" x14ac:dyDescent="0.3">
      <c r="A297" s="7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5.75" customHeight="1" x14ac:dyDescent="0.3">
      <c r="A298" s="7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5.75" customHeight="1" x14ac:dyDescent="0.3">
      <c r="A299" s="7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5.75" customHeight="1" x14ac:dyDescent="0.3">
      <c r="A300" s="7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5.75" customHeight="1" x14ac:dyDescent="0.3">
      <c r="A301" s="7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5.75" customHeight="1" x14ac:dyDescent="0.3">
      <c r="A302" s="7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5.75" customHeight="1" x14ac:dyDescent="0.3">
      <c r="A303" s="7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5.75" customHeight="1" x14ac:dyDescent="0.3">
      <c r="A304" s="7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5.75" customHeight="1" x14ac:dyDescent="0.3">
      <c r="A305" s="7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5.75" customHeight="1" x14ac:dyDescent="0.3">
      <c r="A306" s="7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5.75" customHeight="1" x14ac:dyDescent="0.3">
      <c r="A307" s="7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5.75" customHeight="1" x14ac:dyDescent="0.3">
      <c r="A308" s="7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5.75" customHeight="1" x14ac:dyDescent="0.3">
      <c r="A309" s="7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5.75" customHeight="1" x14ac:dyDescent="0.3">
      <c r="A310" s="7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5.75" customHeight="1" x14ac:dyDescent="0.3">
      <c r="A311" s="7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5.75" customHeight="1" x14ac:dyDescent="0.3">
      <c r="A312" s="7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5.75" customHeight="1" x14ac:dyDescent="0.3">
      <c r="A313" s="7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5.75" customHeight="1" x14ac:dyDescent="0.3">
      <c r="A314" s="7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5.75" customHeight="1" x14ac:dyDescent="0.3">
      <c r="A315" s="7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5.75" customHeight="1" x14ac:dyDescent="0.3">
      <c r="A316" s="7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5.75" customHeight="1" x14ac:dyDescent="0.3">
      <c r="A317" s="7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5.75" customHeight="1" x14ac:dyDescent="0.3">
      <c r="A318" s="7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5.75" customHeight="1" x14ac:dyDescent="0.3">
      <c r="A319" s="7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5.75" customHeight="1" x14ac:dyDescent="0.3">
      <c r="A320" s="7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5.75" customHeight="1" x14ac:dyDescent="0.3">
      <c r="A321" s="7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5.75" customHeight="1" x14ac:dyDescent="0.3">
      <c r="A322" s="7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5.75" customHeight="1" x14ac:dyDescent="0.3">
      <c r="A323" s="7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5.75" customHeight="1" x14ac:dyDescent="0.3">
      <c r="A324" s="7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5.75" customHeight="1" x14ac:dyDescent="0.3">
      <c r="A325" s="7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5.75" customHeight="1" x14ac:dyDescent="0.3">
      <c r="A326" s="7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5.75" customHeight="1" x14ac:dyDescent="0.3">
      <c r="A327" s="7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5.75" customHeight="1" x14ac:dyDescent="0.3">
      <c r="A328" s="7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5.75" customHeight="1" x14ac:dyDescent="0.3">
      <c r="A329" s="7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5.75" customHeight="1" x14ac:dyDescent="0.3">
      <c r="A330" s="7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5.75" customHeight="1" x14ac:dyDescent="0.3">
      <c r="A331" s="7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5.75" customHeight="1" x14ac:dyDescent="0.3">
      <c r="A332" s="7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5.75" customHeight="1" x14ac:dyDescent="0.3">
      <c r="A333" s="7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5.75" customHeight="1" x14ac:dyDescent="0.3">
      <c r="A334" s="7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5.75" customHeight="1" x14ac:dyDescent="0.3">
      <c r="A335" s="7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5.75" customHeight="1" x14ac:dyDescent="0.3">
      <c r="A336" s="7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5.75" customHeight="1" x14ac:dyDescent="0.3">
      <c r="A337" s="7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5.75" customHeight="1" x14ac:dyDescent="0.3">
      <c r="A338" s="7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5.75" customHeight="1" x14ac:dyDescent="0.3">
      <c r="A339" s="7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5.75" customHeight="1" x14ac:dyDescent="0.3">
      <c r="A340" s="7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5.75" customHeight="1" x14ac:dyDescent="0.3">
      <c r="A341" s="7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5.75" customHeight="1" x14ac:dyDescent="0.3">
      <c r="A342" s="7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5.75" customHeight="1" x14ac:dyDescent="0.3">
      <c r="A343" s="7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5.75" customHeight="1" x14ac:dyDescent="0.3">
      <c r="A344" s="7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5.75" customHeight="1" x14ac:dyDescent="0.3">
      <c r="A345" s="7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5.75" customHeight="1" x14ac:dyDescent="0.3">
      <c r="A346" s="7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5.75" customHeight="1" x14ac:dyDescent="0.3">
      <c r="A347" s="7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5.75" customHeight="1" x14ac:dyDescent="0.3">
      <c r="A348" s="7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5.75" customHeight="1" x14ac:dyDescent="0.3">
      <c r="A349" s="7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5.75" customHeight="1" x14ac:dyDescent="0.3">
      <c r="A350" s="7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5.75" customHeight="1" x14ac:dyDescent="0.3">
      <c r="A351" s="7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5.75" customHeight="1" x14ac:dyDescent="0.3">
      <c r="A352" s="7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5.75" customHeight="1" x14ac:dyDescent="0.3">
      <c r="A353" s="7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5.75" customHeight="1" x14ac:dyDescent="0.3">
      <c r="A354" s="7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5.75" customHeight="1" x14ac:dyDescent="0.3">
      <c r="A355" s="7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5.75" customHeight="1" x14ac:dyDescent="0.3">
      <c r="A356" s="7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5.75" customHeight="1" x14ac:dyDescent="0.3">
      <c r="A357" s="7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5.75" customHeight="1" x14ac:dyDescent="0.3">
      <c r="A358" s="7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5.75" customHeight="1" x14ac:dyDescent="0.3">
      <c r="A359" s="7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5.75" customHeight="1" x14ac:dyDescent="0.3">
      <c r="A360" s="7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5.75" customHeight="1" x14ac:dyDescent="0.3">
      <c r="A361" s="7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5.75" customHeight="1" x14ac:dyDescent="0.3">
      <c r="A362" s="7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5.75" customHeight="1" x14ac:dyDescent="0.3">
      <c r="A363" s="7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5.75" customHeight="1" x14ac:dyDescent="0.3">
      <c r="A364" s="7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5.75" customHeight="1" x14ac:dyDescent="0.3">
      <c r="A365" s="7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5.75" customHeight="1" x14ac:dyDescent="0.3">
      <c r="A366" s="7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5.75" customHeight="1" x14ac:dyDescent="0.3">
      <c r="A367" s="7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5.75" customHeight="1" x14ac:dyDescent="0.3">
      <c r="A368" s="7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5.75" customHeight="1" x14ac:dyDescent="0.3">
      <c r="A369" s="7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5.75" customHeight="1" x14ac:dyDescent="0.3">
      <c r="A370" s="7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5.75" customHeight="1" x14ac:dyDescent="0.3">
      <c r="A371" s="7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5.75" customHeight="1" x14ac:dyDescent="0.3">
      <c r="A372" s="7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5.75" customHeight="1" x14ac:dyDescent="0.3">
      <c r="A373" s="7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5.75" customHeight="1" x14ac:dyDescent="0.3">
      <c r="A374" s="7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5.75" customHeight="1" x14ac:dyDescent="0.3">
      <c r="A375" s="7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5.75" customHeight="1" x14ac:dyDescent="0.3">
      <c r="A376" s="7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5.75" customHeight="1" x14ac:dyDescent="0.3">
      <c r="A377" s="7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5.75" customHeight="1" x14ac:dyDescent="0.3">
      <c r="A378" s="7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5.75" customHeight="1" x14ac:dyDescent="0.3">
      <c r="A379" s="7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5.75" customHeight="1" x14ac:dyDescent="0.3">
      <c r="A380" s="7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5.75" customHeight="1" x14ac:dyDescent="0.3">
      <c r="A381" s="7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5.75" customHeight="1" x14ac:dyDescent="0.3">
      <c r="A382" s="7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5.75" customHeight="1" x14ac:dyDescent="0.3">
      <c r="A383" s="7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5.75" customHeight="1" x14ac:dyDescent="0.3">
      <c r="A384" s="7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5.75" customHeight="1" x14ac:dyDescent="0.3">
      <c r="A385" s="7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5.75" customHeight="1" x14ac:dyDescent="0.3">
      <c r="A386" s="7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5.75" customHeight="1" x14ac:dyDescent="0.3">
      <c r="A387" s="7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5.75" customHeight="1" x14ac:dyDescent="0.3">
      <c r="A388" s="7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5.75" customHeight="1" x14ac:dyDescent="0.3">
      <c r="A389" s="7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5.75" customHeight="1" x14ac:dyDescent="0.3">
      <c r="A390" s="7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5.75" customHeight="1" x14ac:dyDescent="0.3">
      <c r="A391" s="7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5.75" customHeight="1" x14ac:dyDescent="0.3">
      <c r="A392" s="7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5.75" customHeight="1" x14ac:dyDescent="0.3">
      <c r="A393" s="7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5.75" customHeight="1" x14ac:dyDescent="0.3">
      <c r="A394" s="7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5.75" customHeight="1" x14ac:dyDescent="0.3">
      <c r="A395" s="7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5.75" customHeight="1" x14ac:dyDescent="0.3">
      <c r="A396" s="7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5.75" customHeight="1" x14ac:dyDescent="0.3">
      <c r="A397" s="7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5.75" customHeight="1" x14ac:dyDescent="0.3">
      <c r="A398" s="7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5.75" customHeight="1" x14ac:dyDescent="0.3">
      <c r="A399" s="7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5.75" customHeight="1" x14ac:dyDescent="0.3">
      <c r="A400" s="7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5.75" customHeight="1" x14ac:dyDescent="0.3">
      <c r="A401" s="7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5.75" customHeight="1" x14ac:dyDescent="0.3">
      <c r="A402" s="7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5.75" customHeight="1" x14ac:dyDescent="0.3">
      <c r="A403" s="7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5.75" customHeight="1" x14ac:dyDescent="0.3">
      <c r="A404" s="7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5.75" customHeight="1" x14ac:dyDescent="0.3">
      <c r="A405" s="7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5.75" customHeight="1" x14ac:dyDescent="0.3">
      <c r="A406" s="7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5.75" customHeight="1" x14ac:dyDescent="0.3">
      <c r="A407" s="7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5.75" customHeight="1" x14ac:dyDescent="0.3">
      <c r="A408" s="7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5.75" customHeight="1" x14ac:dyDescent="0.3">
      <c r="A409" s="7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5.75" customHeight="1" x14ac:dyDescent="0.3">
      <c r="A410" s="7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5.75" customHeight="1" x14ac:dyDescent="0.3">
      <c r="A411" s="7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5.75" customHeight="1" x14ac:dyDescent="0.3">
      <c r="A412" s="7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5.75" customHeight="1" x14ac:dyDescent="0.3">
      <c r="A413" s="7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5.75" customHeight="1" x14ac:dyDescent="0.3">
      <c r="A414" s="7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5.75" customHeight="1" x14ac:dyDescent="0.3">
      <c r="A415" s="7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5.75" customHeight="1" x14ac:dyDescent="0.3">
      <c r="A416" s="7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5.75" customHeight="1" x14ac:dyDescent="0.3">
      <c r="A417" s="7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5.75" customHeight="1" x14ac:dyDescent="0.3">
      <c r="A418" s="7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5.75" customHeight="1" x14ac:dyDescent="0.3">
      <c r="A419" s="7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5.75" customHeight="1" x14ac:dyDescent="0.3">
      <c r="A420" s="7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5.75" customHeight="1" x14ac:dyDescent="0.3">
      <c r="A421" s="7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5.75" customHeight="1" x14ac:dyDescent="0.3">
      <c r="A422" s="7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5.75" customHeight="1" x14ac:dyDescent="0.3">
      <c r="A423" s="7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5.75" customHeight="1" x14ac:dyDescent="0.3">
      <c r="A424" s="7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5.75" customHeight="1" x14ac:dyDescent="0.3">
      <c r="A425" s="7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5.75" customHeight="1" x14ac:dyDescent="0.3">
      <c r="A426" s="7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5.75" customHeight="1" x14ac:dyDescent="0.3">
      <c r="A427" s="7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5.75" customHeight="1" x14ac:dyDescent="0.3">
      <c r="A428" s="7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5.75" customHeight="1" x14ac:dyDescent="0.3">
      <c r="A429" s="7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5.75" customHeight="1" x14ac:dyDescent="0.3">
      <c r="A430" s="7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5.75" customHeight="1" x14ac:dyDescent="0.3">
      <c r="A431" s="7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5.75" customHeight="1" x14ac:dyDescent="0.3">
      <c r="A432" s="7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5.75" customHeight="1" x14ac:dyDescent="0.3">
      <c r="A433" s="7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5.75" customHeight="1" x14ac:dyDescent="0.3">
      <c r="A434" s="7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5.75" customHeight="1" x14ac:dyDescent="0.3">
      <c r="A435" s="7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5.75" customHeight="1" x14ac:dyDescent="0.3">
      <c r="A436" s="7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5.75" customHeight="1" x14ac:dyDescent="0.3">
      <c r="A437" s="7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5.75" customHeight="1" x14ac:dyDescent="0.3">
      <c r="A438" s="7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5.75" customHeight="1" x14ac:dyDescent="0.3">
      <c r="A439" s="7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5.75" customHeight="1" x14ac:dyDescent="0.3">
      <c r="A440" s="7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5.75" customHeight="1" x14ac:dyDescent="0.3">
      <c r="A441" s="7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5.75" customHeight="1" x14ac:dyDescent="0.3">
      <c r="A442" s="7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5.75" customHeight="1" x14ac:dyDescent="0.3">
      <c r="A443" s="7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5.75" customHeight="1" x14ac:dyDescent="0.3">
      <c r="A444" s="7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5.75" customHeight="1" x14ac:dyDescent="0.3">
      <c r="A445" s="7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5.75" customHeight="1" x14ac:dyDescent="0.3">
      <c r="A446" s="7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5.75" customHeight="1" x14ac:dyDescent="0.3">
      <c r="A447" s="7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5.75" customHeight="1" x14ac:dyDescent="0.3">
      <c r="A448" s="7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5.75" customHeight="1" x14ac:dyDescent="0.3">
      <c r="A449" s="7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5.75" customHeight="1" x14ac:dyDescent="0.3">
      <c r="A450" s="7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5.75" customHeight="1" x14ac:dyDescent="0.3">
      <c r="A451" s="7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5.75" customHeight="1" x14ac:dyDescent="0.3">
      <c r="A452" s="7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5.75" customHeight="1" x14ac:dyDescent="0.3">
      <c r="A453" s="7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5.75" customHeight="1" x14ac:dyDescent="0.3">
      <c r="A454" s="7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5.75" customHeight="1" x14ac:dyDescent="0.3">
      <c r="A455" s="7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5.75" customHeight="1" x14ac:dyDescent="0.3">
      <c r="A456" s="7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5.75" customHeight="1" x14ac:dyDescent="0.3">
      <c r="A457" s="7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5.75" customHeight="1" x14ac:dyDescent="0.3">
      <c r="A458" s="7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5.75" customHeight="1" x14ac:dyDescent="0.3">
      <c r="A459" s="7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5.75" customHeight="1" x14ac:dyDescent="0.3">
      <c r="A460" s="7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5.75" customHeight="1" x14ac:dyDescent="0.3">
      <c r="A461" s="7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5.75" customHeight="1" x14ac:dyDescent="0.3">
      <c r="A462" s="7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5.75" customHeight="1" x14ac:dyDescent="0.3">
      <c r="A463" s="7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5.75" customHeight="1" x14ac:dyDescent="0.3">
      <c r="A464" s="7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5.75" customHeight="1" x14ac:dyDescent="0.3">
      <c r="A465" s="7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5.75" customHeight="1" x14ac:dyDescent="0.3">
      <c r="A466" s="7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5.75" customHeight="1" x14ac:dyDescent="0.3">
      <c r="A467" s="7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5.75" customHeight="1" x14ac:dyDescent="0.3">
      <c r="A468" s="7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5.75" customHeight="1" x14ac:dyDescent="0.3">
      <c r="A469" s="7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5.75" customHeight="1" x14ac:dyDescent="0.3">
      <c r="A470" s="7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5.75" customHeight="1" x14ac:dyDescent="0.3">
      <c r="A471" s="7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5.75" customHeight="1" x14ac:dyDescent="0.3">
      <c r="A472" s="7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5.75" customHeight="1" x14ac:dyDescent="0.3">
      <c r="A473" s="7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5.75" customHeight="1" x14ac:dyDescent="0.3">
      <c r="A474" s="7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5.75" customHeight="1" x14ac:dyDescent="0.3">
      <c r="A475" s="7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5.75" customHeight="1" x14ac:dyDescent="0.3">
      <c r="A476" s="7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5.75" customHeight="1" x14ac:dyDescent="0.3">
      <c r="A477" s="7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5.75" customHeight="1" x14ac:dyDescent="0.3">
      <c r="A478" s="7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5.75" customHeight="1" x14ac:dyDescent="0.3">
      <c r="A479" s="7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5.75" customHeight="1" x14ac:dyDescent="0.3">
      <c r="A480" s="7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5.75" customHeight="1" x14ac:dyDescent="0.3">
      <c r="A481" s="7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5.75" customHeight="1" x14ac:dyDescent="0.3">
      <c r="A482" s="7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5.75" customHeight="1" x14ac:dyDescent="0.3">
      <c r="A483" s="7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5.75" customHeight="1" x14ac:dyDescent="0.3">
      <c r="A484" s="7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5.75" customHeight="1" x14ac:dyDescent="0.3">
      <c r="A485" s="7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5.75" customHeight="1" x14ac:dyDescent="0.3">
      <c r="A486" s="7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5.75" customHeight="1" x14ac:dyDescent="0.3">
      <c r="A487" s="7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5.75" customHeight="1" x14ac:dyDescent="0.3">
      <c r="A488" s="7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5.75" customHeight="1" x14ac:dyDescent="0.3">
      <c r="A489" s="7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5.75" customHeight="1" x14ac:dyDescent="0.3">
      <c r="A490" s="7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5.75" customHeight="1" x14ac:dyDescent="0.3">
      <c r="A491" s="7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5.75" customHeight="1" x14ac:dyDescent="0.3">
      <c r="A492" s="7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5.75" customHeight="1" x14ac:dyDescent="0.3">
      <c r="A493" s="7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5.75" customHeight="1" x14ac:dyDescent="0.3">
      <c r="A494" s="7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5.75" customHeight="1" x14ac:dyDescent="0.3">
      <c r="A495" s="7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5.75" customHeight="1" x14ac:dyDescent="0.3">
      <c r="A496" s="7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5.75" customHeight="1" x14ac:dyDescent="0.3">
      <c r="A497" s="7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5.75" customHeight="1" x14ac:dyDescent="0.3">
      <c r="A498" s="7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5.75" customHeight="1" x14ac:dyDescent="0.3">
      <c r="A499" s="7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5.75" customHeight="1" x14ac:dyDescent="0.3">
      <c r="A500" s="7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5.75" customHeight="1" x14ac:dyDescent="0.3">
      <c r="A501" s="7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5.75" customHeight="1" x14ac:dyDescent="0.3">
      <c r="A502" s="7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5.75" customHeight="1" x14ac:dyDescent="0.3">
      <c r="A503" s="7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5.75" customHeight="1" x14ac:dyDescent="0.3">
      <c r="A504" s="7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5.75" customHeight="1" x14ac:dyDescent="0.3">
      <c r="A505" s="7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5.75" customHeight="1" x14ac:dyDescent="0.3">
      <c r="A506" s="7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5.75" customHeight="1" x14ac:dyDescent="0.3">
      <c r="A507" s="7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5.75" customHeight="1" x14ac:dyDescent="0.3">
      <c r="A508" s="7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5.75" customHeight="1" x14ac:dyDescent="0.3">
      <c r="A509" s="7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5.75" customHeight="1" x14ac:dyDescent="0.3">
      <c r="A510" s="7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5.75" customHeight="1" x14ac:dyDescent="0.3">
      <c r="A511" s="7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5.75" customHeight="1" x14ac:dyDescent="0.3">
      <c r="A512" s="7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5.75" customHeight="1" x14ac:dyDescent="0.3">
      <c r="A513" s="7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5.75" customHeight="1" x14ac:dyDescent="0.3">
      <c r="A514" s="7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5.75" customHeight="1" x14ac:dyDescent="0.3">
      <c r="A515" s="7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5.75" customHeight="1" x14ac:dyDescent="0.3">
      <c r="A516" s="7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5.75" customHeight="1" x14ac:dyDescent="0.3">
      <c r="A517" s="7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5.75" customHeight="1" x14ac:dyDescent="0.3">
      <c r="A518" s="7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5.75" customHeight="1" x14ac:dyDescent="0.3">
      <c r="A519" s="7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5.75" customHeight="1" x14ac:dyDescent="0.3">
      <c r="A520" s="7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5.75" customHeight="1" x14ac:dyDescent="0.3">
      <c r="A521" s="7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5.75" customHeight="1" x14ac:dyDescent="0.3">
      <c r="A522" s="7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5.75" customHeight="1" x14ac:dyDescent="0.3">
      <c r="A523" s="7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5.75" customHeight="1" x14ac:dyDescent="0.3">
      <c r="A524" s="7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5.75" customHeight="1" x14ac:dyDescent="0.3">
      <c r="A525" s="7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5.75" customHeight="1" x14ac:dyDescent="0.3">
      <c r="A526" s="7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5.75" customHeight="1" x14ac:dyDescent="0.3">
      <c r="A527" s="7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5.75" customHeight="1" x14ac:dyDescent="0.3">
      <c r="A528" s="7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5.75" customHeight="1" x14ac:dyDescent="0.3">
      <c r="A529" s="7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5.75" customHeight="1" x14ac:dyDescent="0.3">
      <c r="A530" s="7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5.75" customHeight="1" x14ac:dyDescent="0.3">
      <c r="A531" s="7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5.75" customHeight="1" x14ac:dyDescent="0.3">
      <c r="A532" s="7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5.75" customHeight="1" x14ac:dyDescent="0.3">
      <c r="A533" s="7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5.75" customHeight="1" x14ac:dyDescent="0.3">
      <c r="A534" s="7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5.75" customHeight="1" x14ac:dyDescent="0.3">
      <c r="A535" s="7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5.75" customHeight="1" x14ac:dyDescent="0.3">
      <c r="A536" s="7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5.75" customHeight="1" x14ac:dyDescent="0.3">
      <c r="A537" s="7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5.75" customHeight="1" x14ac:dyDescent="0.3">
      <c r="A538" s="7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5.75" customHeight="1" x14ac:dyDescent="0.3">
      <c r="A539" s="7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5.75" customHeight="1" x14ac:dyDescent="0.3">
      <c r="A540" s="7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5.75" customHeight="1" x14ac:dyDescent="0.3">
      <c r="A541" s="7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5.75" customHeight="1" x14ac:dyDescent="0.3">
      <c r="A542" s="7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5.75" customHeight="1" x14ac:dyDescent="0.3">
      <c r="A543" s="7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5.75" customHeight="1" x14ac:dyDescent="0.3">
      <c r="A544" s="7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5.75" customHeight="1" x14ac:dyDescent="0.3">
      <c r="A545" s="7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5.75" customHeight="1" x14ac:dyDescent="0.3">
      <c r="A546" s="7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5.75" customHeight="1" x14ac:dyDescent="0.3">
      <c r="A547" s="7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5.75" customHeight="1" x14ac:dyDescent="0.3">
      <c r="A548" s="7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5.75" customHeight="1" x14ac:dyDescent="0.3">
      <c r="A549" s="7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5.75" customHeight="1" x14ac:dyDescent="0.3">
      <c r="A550" s="7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5.75" customHeight="1" x14ac:dyDescent="0.3">
      <c r="A551" s="7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5.75" customHeight="1" x14ac:dyDescent="0.3">
      <c r="A552" s="7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5.75" customHeight="1" x14ac:dyDescent="0.3">
      <c r="A553" s="7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5.75" customHeight="1" x14ac:dyDescent="0.3">
      <c r="A554" s="7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5.75" customHeight="1" x14ac:dyDescent="0.3">
      <c r="A555" s="7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5.75" customHeight="1" x14ac:dyDescent="0.3">
      <c r="A556" s="7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5.75" customHeight="1" x14ac:dyDescent="0.3">
      <c r="A557" s="7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5.75" customHeight="1" x14ac:dyDescent="0.3">
      <c r="A558" s="7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5.75" customHeight="1" x14ac:dyDescent="0.3">
      <c r="A559" s="7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5.75" customHeight="1" x14ac:dyDescent="0.3">
      <c r="A560" s="7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5.75" customHeight="1" x14ac:dyDescent="0.3">
      <c r="A561" s="7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5.75" customHeight="1" x14ac:dyDescent="0.3">
      <c r="A562" s="7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5.75" customHeight="1" x14ac:dyDescent="0.3">
      <c r="A563" s="7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5.75" customHeight="1" x14ac:dyDescent="0.3">
      <c r="A564" s="7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5.75" customHeight="1" x14ac:dyDescent="0.3">
      <c r="A565" s="7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5.75" customHeight="1" x14ac:dyDescent="0.3">
      <c r="A566" s="7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5.75" customHeight="1" x14ac:dyDescent="0.3">
      <c r="A567" s="7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5.75" customHeight="1" x14ac:dyDescent="0.3">
      <c r="A568" s="7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5.75" customHeight="1" x14ac:dyDescent="0.3">
      <c r="A569" s="7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5.75" customHeight="1" x14ac:dyDescent="0.3">
      <c r="A570" s="7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5.75" customHeight="1" x14ac:dyDescent="0.3">
      <c r="A571" s="7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5.75" customHeight="1" x14ac:dyDescent="0.3">
      <c r="A572" s="7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5.75" customHeight="1" x14ac:dyDescent="0.3">
      <c r="A573" s="7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5.75" customHeight="1" x14ac:dyDescent="0.3">
      <c r="A574" s="7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5.75" customHeight="1" x14ac:dyDescent="0.3">
      <c r="A575" s="7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5.75" customHeight="1" x14ac:dyDescent="0.3">
      <c r="A576" s="7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5.75" customHeight="1" x14ac:dyDescent="0.3">
      <c r="A577" s="7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5.75" customHeight="1" x14ac:dyDescent="0.3">
      <c r="A578" s="7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5.75" customHeight="1" x14ac:dyDescent="0.3">
      <c r="A579" s="7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5.75" customHeight="1" x14ac:dyDescent="0.3">
      <c r="A580" s="7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5.75" customHeight="1" x14ac:dyDescent="0.3">
      <c r="A581" s="7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5.75" customHeight="1" x14ac:dyDescent="0.3">
      <c r="A582" s="7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5.75" customHeight="1" x14ac:dyDescent="0.3">
      <c r="A583" s="7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5.75" customHeight="1" x14ac:dyDescent="0.3">
      <c r="A584" s="7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5.75" customHeight="1" x14ac:dyDescent="0.3">
      <c r="A585" s="7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5.75" customHeight="1" x14ac:dyDescent="0.3">
      <c r="A586" s="7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5.75" customHeight="1" x14ac:dyDescent="0.3">
      <c r="A587" s="7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5.75" customHeight="1" x14ac:dyDescent="0.3">
      <c r="A588" s="7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5.75" customHeight="1" x14ac:dyDescent="0.3">
      <c r="A589" s="7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5.75" customHeight="1" x14ac:dyDescent="0.3">
      <c r="A590" s="7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5.75" customHeight="1" x14ac:dyDescent="0.3">
      <c r="A591" s="7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5.75" customHeight="1" x14ac:dyDescent="0.3">
      <c r="A592" s="7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5.75" customHeight="1" x14ac:dyDescent="0.3">
      <c r="A593" s="7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5.75" customHeight="1" x14ac:dyDescent="0.3">
      <c r="A594" s="7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5.75" customHeight="1" x14ac:dyDescent="0.3">
      <c r="A595" s="7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5.75" customHeight="1" x14ac:dyDescent="0.3">
      <c r="A596" s="7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5.75" customHeight="1" x14ac:dyDescent="0.3">
      <c r="A597" s="7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5.75" customHeight="1" x14ac:dyDescent="0.3">
      <c r="A598" s="7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5.75" customHeight="1" x14ac:dyDescent="0.3">
      <c r="A599" s="7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5.75" customHeight="1" x14ac:dyDescent="0.3">
      <c r="A600" s="7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5.75" customHeight="1" x14ac:dyDescent="0.3">
      <c r="A601" s="7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5.75" customHeight="1" x14ac:dyDescent="0.3">
      <c r="A602" s="7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5.75" customHeight="1" x14ac:dyDescent="0.3">
      <c r="A603" s="7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5.75" customHeight="1" x14ac:dyDescent="0.3">
      <c r="A604" s="7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5.75" customHeight="1" x14ac:dyDescent="0.3">
      <c r="A605" s="7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5.75" customHeight="1" x14ac:dyDescent="0.3">
      <c r="A606" s="7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5.75" customHeight="1" x14ac:dyDescent="0.3">
      <c r="A607" s="7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5.75" customHeight="1" x14ac:dyDescent="0.3">
      <c r="A608" s="7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5.75" customHeight="1" x14ac:dyDescent="0.3">
      <c r="A609" s="7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5.75" customHeight="1" x14ac:dyDescent="0.3">
      <c r="A610" s="7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5.75" customHeight="1" x14ac:dyDescent="0.3">
      <c r="A611" s="7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5.75" customHeight="1" x14ac:dyDescent="0.3">
      <c r="A612" s="7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5.75" customHeight="1" x14ac:dyDescent="0.3">
      <c r="A613" s="7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5.75" customHeight="1" x14ac:dyDescent="0.3">
      <c r="A614" s="7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5.75" customHeight="1" x14ac:dyDescent="0.3">
      <c r="A615" s="7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5.75" customHeight="1" x14ac:dyDescent="0.3">
      <c r="A616" s="7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5.75" customHeight="1" x14ac:dyDescent="0.3">
      <c r="A617" s="7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5.75" customHeight="1" x14ac:dyDescent="0.3">
      <c r="A618" s="7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5.75" customHeight="1" x14ac:dyDescent="0.3">
      <c r="A619" s="7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5.75" customHeight="1" x14ac:dyDescent="0.3">
      <c r="A620" s="7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5.75" customHeight="1" x14ac:dyDescent="0.3">
      <c r="A621" s="7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5.75" customHeight="1" x14ac:dyDescent="0.3">
      <c r="A622" s="7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5.75" customHeight="1" x14ac:dyDescent="0.3">
      <c r="A623" s="7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5.75" customHeight="1" x14ac:dyDescent="0.3">
      <c r="A624" s="7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5.75" customHeight="1" x14ac:dyDescent="0.3">
      <c r="A625" s="7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5.75" customHeight="1" x14ac:dyDescent="0.3">
      <c r="A626" s="7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5.75" customHeight="1" x14ac:dyDescent="0.3">
      <c r="A627" s="7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5.75" customHeight="1" x14ac:dyDescent="0.3">
      <c r="A628" s="7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5.75" customHeight="1" x14ac:dyDescent="0.3">
      <c r="A629" s="7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5.75" customHeight="1" x14ac:dyDescent="0.3">
      <c r="A630" s="7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5.75" customHeight="1" x14ac:dyDescent="0.3">
      <c r="A631" s="7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5.75" customHeight="1" x14ac:dyDescent="0.3">
      <c r="A632" s="7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5.75" customHeight="1" x14ac:dyDescent="0.3">
      <c r="A633" s="7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5.75" customHeight="1" x14ac:dyDescent="0.3">
      <c r="A634" s="7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5.75" customHeight="1" x14ac:dyDescent="0.3">
      <c r="A635" s="7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5.75" customHeight="1" x14ac:dyDescent="0.3">
      <c r="A636" s="7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5.75" customHeight="1" x14ac:dyDescent="0.3">
      <c r="A637" s="7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5.75" customHeight="1" x14ac:dyDescent="0.3">
      <c r="A638" s="7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5.75" customHeight="1" x14ac:dyDescent="0.3">
      <c r="A639" s="7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5.75" customHeight="1" x14ac:dyDescent="0.3">
      <c r="A640" s="7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5.75" customHeight="1" x14ac:dyDescent="0.3">
      <c r="A641" s="7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5.75" customHeight="1" x14ac:dyDescent="0.3">
      <c r="A642" s="7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5.75" customHeight="1" x14ac:dyDescent="0.3">
      <c r="A643" s="7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5.75" customHeight="1" x14ac:dyDescent="0.3">
      <c r="A644" s="7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5.75" customHeight="1" x14ac:dyDescent="0.3">
      <c r="A645" s="7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5.75" customHeight="1" x14ac:dyDescent="0.3">
      <c r="A646" s="7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5.75" customHeight="1" x14ac:dyDescent="0.3">
      <c r="A647" s="7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5.75" customHeight="1" x14ac:dyDescent="0.3">
      <c r="A648" s="7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5.75" customHeight="1" x14ac:dyDescent="0.3">
      <c r="A649" s="7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5.75" customHeight="1" x14ac:dyDescent="0.3">
      <c r="A650" s="7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5.75" customHeight="1" x14ac:dyDescent="0.3">
      <c r="A651" s="7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5.75" customHeight="1" x14ac:dyDescent="0.3">
      <c r="A652" s="7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5.75" customHeight="1" x14ac:dyDescent="0.3">
      <c r="A653" s="7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5.75" customHeight="1" x14ac:dyDescent="0.3">
      <c r="A654" s="7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5.75" customHeight="1" x14ac:dyDescent="0.3">
      <c r="A655" s="7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5.75" customHeight="1" x14ac:dyDescent="0.3">
      <c r="A656" s="7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5.75" customHeight="1" x14ac:dyDescent="0.3">
      <c r="A657" s="7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5.75" customHeight="1" x14ac:dyDescent="0.3">
      <c r="A658" s="7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5.75" customHeight="1" x14ac:dyDescent="0.3">
      <c r="A659" s="7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5.75" customHeight="1" x14ac:dyDescent="0.3">
      <c r="A660" s="7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5.75" customHeight="1" x14ac:dyDescent="0.3">
      <c r="A661" s="7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5.75" customHeight="1" x14ac:dyDescent="0.3">
      <c r="A662" s="7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5.75" customHeight="1" x14ac:dyDescent="0.3">
      <c r="A663" s="7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5.75" customHeight="1" x14ac:dyDescent="0.3">
      <c r="A664" s="7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5.75" customHeight="1" x14ac:dyDescent="0.3">
      <c r="A665" s="7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5.75" customHeight="1" x14ac:dyDescent="0.3">
      <c r="A666" s="7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5.75" customHeight="1" x14ac:dyDescent="0.3">
      <c r="A667" s="7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5.75" customHeight="1" x14ac:dyDescent="0.3">
      <c r="A668" s="7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5.75" customHeight="1" x14ac:dyDescent="0.3">
      <c r="A669" s="7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5.75" customHeight="1" x14ac:dyDescent="0.3">
      <c r="A670" s="7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5.75" customHeight="1" x14ac:dyDescent="0.3">
      <c r="A671" s="7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5.75" customHeight="1" x14ac:dyDescent="0.3">
      <c r="A672" s="7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5.75" customHeight="1" x14ac:dyDescent="0.3">
      <c r="A673" s="7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5.75" customHeight="1" x14ac:dyDescent="0.3">
      <c r="A674" s="7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5.75" customHeight="1" x14ac:dyDescent="0.3">
      <c r="A675" s="7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5.75" customHeight="1" x14ac:dyDescent="0.3">
      <c r="A676" s="7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5.75" customHeight="1" x14ac:dyDescent="0.3">
      <c r="A677" s="7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5.75" customHeight="1" x14ac:dyDescent="0.3">
      <c r="A678" s="7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5.75" customHeight="1" x14ac:dyDescent="0.3">
      <c r="A679" s="7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5.75" customHeight="1" x14ac:dyDescent="0.3">
      <c r="A680" s="7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5.75" customHeight="1" x14ac:dyDescent="0.3">
      <c r="A681" s="7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5.75" customHeight="1" x14ac:dyDescent="0.3">
      <c r="A682" s="7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5.75" customHeight="1" x14ac:dyDescent="0.3">
      <c r="A683" s="7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5.75" customHeight="1" x14ac:dyDescent="0.3">
      <c r="A684" s="7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5.75" customHeight="1" x14ac:dyDescent="0.3">
      <c r="A685" s="7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5.75" customHeight="1" x14ac:dyDescent="0.3">
      <c r="A686" s="7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5.75" customHeight="1" x14ac:dyDescent="0.3">
      <c r="A687" s="7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5.75" customHeight="1" x14ac:dyDescent="0.3">
      <c r="A688" s="7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5.75" customHeight="1" x14ac:dyDescent="0.3">
      <c r="A689" s="7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5.75" customHeight="1" x14ac:dyDescent="0.3">
      <c r="A690" s="7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5.75" customHeight="1" x14ac:dyDescent="0.3">
      <c r="A691" s="7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5.75" customHeight="1" x14ac:dyDescent="0.3">
      <c r="A692" s="7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5.75" customHeight="1" x14ac:dyDescent="0.3">
      <c r="A693" s="7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5.75" customHeight="1" x14ac:dyDescent="0.3">
      <c r="A694" s="7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5.75" customHeight="1" x14ac:dyDescent="0.3">
      <c r="A695" s="7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5.75" customHeight="1" x14ac:dyDescent="0.3">
      <c r="A696" s="7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5.75" customHeight="1" x14ac:dyDescent="0.3">
      <c r="A697" s="7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5.75" customHeight="1" x14ac:dyDescent="0.3">
      <c r="A698" s="7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5.75" customHeight="1" x14ac:dyDescent="0.3">
      <c r="A699" s="7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5.75" customHeight="1" x14ac:dyDescent="0.3">
      <c r="A700" s="7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5.75" customHeight="1" x14ac:dyDescent="0.3">
      <c r="A701" s="7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5.75" customHeight="1" x14ac:dyDescent="0.3">
      <c r="A702" s="7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5.75" customHeight="1" x14ac:dyDescent="0.3">
      <c r="A703" s="7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5.75" customHeight="1" x14ac:dyDescent="0.3">
      <c r="A704" s="7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5.75" customHeight="1" x14ac:dyDescent="0.3">
      <c r="A705" s="7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5.75" customHeight="1" x14ac:dyDescent="0.3">
      <c r="A706" s="7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5.75" customHeight="1" x14ac:dyDescent="0.3">
      <c r="A707" s="7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5.75" customHeight="1" x14ac:dyDescent="0.3">
      <c r="A708" s="7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5.75" customHeight="1" x14ac:dyDescent="0.3">
      <c r="A709" s="7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5.75" customHeight="1" x14ac:dyDescent="0.3">
      <c r="A710" s="7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5.75" customHeight="1" x14ac:dyDescent="0.3">
      <c r="A711" s="7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5.75" customHeight="1" x14ac:dyDescent="0.3">
      <c r="A712" s="7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5.75" customHeight="1" x14ac:dyDescent="0.3">
      <c r="A713" s="7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5.75" customHeight="1" x14ac:dyDescent="0.3">
      <c r="A714" s="7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5.75" customHeight="1" x14ac:dyDescent="0.3">
      <c r="A715" s="7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5.75" customHeight="1" x14ac:dyDescent="0.3">
      <c r="A716" s="7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5.75" customHeight="1" x14ac:dyDescent="0.3">
      <c r="A717" s="7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5.75" customHeight="1" x14ac:dyDescent="0.3">
      <c r="A718" s="7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5.75" customHeight="1" x14ac:dyDescent="0.3">
      <c r="A719" s="7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5.75" customHeight="1" x14ac:dyDescent="0.3">
      <c r="A720" s="7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5.75" customHeight="1" x14ac:dyDescent="0.3">
      <c r="A721" s="7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5.75" customHeight="1" x14ac:dyDescent="0.3">
      <c r="A722" s="7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5.75" customHeight="1" x14ac:dyDescent="0.3">
      <c r="A723" s="7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5.75" customHeight="1" x14ac:dyDescent="0.3">
      <c r="A724" s="7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5.75" customHeight="1" x14ac:dyDescent="0.3">
      <c r="A725" s="7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5.75" customHeight="1" x14ac:dyDescent="0.3">
      <c r="A726" s="7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5.75" customHeight="1" x14ac:dyDescent="0.3">
      <c r="A727" s="7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5.75" customHeight="1" x14ac:dyDescent="0.3">
      <c r="A728" s="7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5.75" customHeight="1" x14ac:dyDescent="0.3">
      <c r="A729" s="7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5.75" customHeight="1" x14ac:dyDescent="0.3">
      <c r="A730" s="7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5.75" customHeight="1" x14ac:dyDescent="0.3">
      <c r="A731" s="7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5.75" customHeight="1" x14ac:dyDescent="0.3">
      <c r="A732" s="7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5.75" customHeight="1" x14ac:dyDescent="0.3">
      <c r="A733" s="7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5.75" customHeight="1" x14ac:dyDescent="0.3">
      <c r="A734" s="7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5.75" customHeight="1" x14ac:dyDescent="0.3">
      <c r="A735" s="7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5.75" customHeight="1" x14ac:dyDescent="0.3">
      <c r="A736" s="7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5.75" customHeight="1" x14ac:dyDescent="0.3">
      <c r="A737" s="7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5.75" customHeight="1" x14ac:dyDescent="0.3">
      <c r="A738" s="7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5.75" customHeight="1" x14ac:dyDescent="0.3">
      <c r="A739" s="7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5.75" customHeight="1" x14ac:dyDescent="0.3">
      <c r="A740" s="7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5.75" customHeight="1" x14ac:dyDescent="0.3">
      <c r="A741" s="7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5.75" customHeight="1" x14ac:dyDescent="0.3">
      <c r="A742" s="7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5.75" customHeight="1" x14ac:dyDescent="0.3">
      <c r="A743" s="7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5.75" customHeight="1" x14ac:dyDescent="0.3">
      <c r="A744" s="7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5.75" customHeight="1" x14ac:dyDescent="0.3">
      <c r="A745" s="7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5.75" customHeight="1" x14ac:dyDescent="0.3">
      <c r="A746" s="7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5.75" customHeight="1" x14ac:dyDescent="0.3">
      <c r="A747" s="7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5.75" customHeight="1" x14ac:dyDescent="0.3">
      <c r="A748" s="7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5.75" customHeight="1" x14ac:dyDescent="0.3">
      <c r="A749" s="7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5.75" customHeight="1" x14ac:dyDescent="0.3">
      <c r="A750" s="7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5.75" customHeight="1" x14ac:dyDescent="0.3">
      <c r="A751" s="7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5.75" customHeight="1" x14ac:dyDescent="0.3">
      <c r="A752" s="7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5.75" customHeight="1" x14ac:dyDescent="0.3">
      <c r="A753" s="7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5.75" customHeight="1" x14ac:dyDescent="0.3">
      <c r="A754" s="7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5.75" customHeight="1" x14ac:dyDescent="0.3">
      <c r="A755" s="7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5.75" customHeight="1" x14ac:dyDescent="0.3">
      <c r="A756" s="7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5.75" customHeight="1" x14ac:dyDescent="0.3">
      <c r="A757" s="7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5.75" customHeight="1" x14ac:dyDescent="0.3">
      <c r="A758" s="7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5.75" customHeight="1" x14ac:dyDescent="0.3">
      <c r="A759" s="7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5.75" customHeight="1" x14ac:dyDescent="0.3">
      <c r="A760" s="7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5.75" customHeight="1" x14ac:dyDescent="0.3">
      <c r="A761" s="7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5.75" customHeight="1" x14ac:dyDescent="0.3">
      <c r="A762" s="7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5.75" customHeight="1" x14ac:dyDescent="0.3">
      <c r="A763" s="7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5.75" customHeight="1" x14ac:dyDescent="0.3">
      <c r="A764" s="7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5.75" customHeight="1" x14ac:dyDescent="0.3">
      <c r="A765" s="7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5.75" customHeight="1" x14ac:dyDescent="0.3">
      <c r="A766" s="7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5.75" customHeight="1" x14ac:dyDescent="0.3">
      <c r="A767" s="7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5.75" customHeight="1" x14ac:dyDescent="0.3">
      <c r="A768" s="7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5.75" customHeight="1" x14ac:dyDescent="0.3">
      <c r="A769" s="7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5.75" customHeight="1" x14ac:dyDescent="0.3">
      <c r="A770" s="7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5.75" customHeight="1" x14ac:dyDescent="0.3">
      <c r="A771" s="7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5.75" customHeight="1" x14ac:dyDescent="0.3">
      <c r="A772" s="7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5.75" customHeight="1" x14ac:dyDescent="0.3">
      <c r="A773" s="7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5.75" customHeight="1" x14ac:dyDescent="0.3">
      <c r="A774" s="7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5.75" customHeight="1" x14ac:dyDescent="0.3">
      <c r="A775" s="7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5.75" customHeight="1" x14ac:dyDescent="0.3">
      <c r="A776" s="7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5.75" customHeight="1" x14ac:dyDescent="0.3">
      <c r="A777" s="7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5.75" customHeight="1" x14ac:dyDescent="0.3">
      <c r="A778" s="7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5.75" customHeight="1" x14ac:dyDescent="0.3">
      <c r="A779" s="7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5.75" customHeight="1" x14ac:dyDescent="0.3">
      <c r="A780" s="7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5.75" customHeight="1" x14ac:dyDescent="0.3">
      <c r="A781" s="7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5.75" customHeight="1" x14ac:dyDescent="0.3">
      <c r="A782" s="7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5.75" customHeight="1" x14ac:dyDescent="0.3">
      <c r="A783" s="7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5.75" customHeight="1" x14ac:dyDescent="0.3">
      <c r="A784" s="7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5.75" customHeight="1" x14ac:dyDescent="0.3">
      <c r="A785" s="7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5.75" customHeight="1" x14ac:dyDescent="0.3">
      <c r="A786" s="7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5.75" customHeight="1" x14ac:dyDescent="0.3">
      <c r="A787" s="7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5.75" customHeight="1" x14ac:dyDescent="0.3">
      <c r="A788" s="7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5.75" customHeight="1" x14ac:dyDescent="0.3">
      <c r="A789" s="7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5.75" customHeight="1" x14ac:dyDescent="0.3">
      <c r="A790" s="7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5.75" customHeight="1" x14ac:dyDescent="0.3">
      <c r="A791" s="7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5.75" customHeight="1" x14ac:dyDescent="0.3">
      <c r="A792" s="7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5.75" customHeight="1" x14ac:dyDescent="0.3">
      <c r="A793" s="7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5.75" customHeight="1" x14ac:dyDescent="0.3">
      <c r="A794" s="7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5.75" customHeight="1" x14ac:dyDescent="0.3">
      <c r="A795" s="7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5.75" customHeight="1" x14ac:dyDescent="0.3">
      <c r="A796" s="7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5.75" customHeight="1" x14ac:dyDescent="0.3">
      <c r="A797" s="7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5.75" customHeight="1" x14ac:dyDescent="0.3">
      <c r="A798" s="7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5.75" customHeight="1" x14ac:dyDescent="0.3">
      <c r="A799" s="7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5.75" customHeight="1" x14ac:dyDescent="0.3">
      <c r="A800" s="7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5.75" customHeight="1" x14ac:dyDescent="0.3">
      <c r="A801" s="7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5.75" customHeight="1" x14ac:dyDescent="0.3">
      <c r="A802" s="7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5.75" customHeight="1" x14ac:dyDescent="0.3">
      <c r="A803" s="7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5.75" customHeight="1" x14ac:dyDescent="0.3">
      <c r="A804" s="7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5.75" customHeight="1" x14ac:dyDescent="0.3">
      <c r="A805" s="7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5.75" customHeight="1" x14ac:dyDescent="0.3">
      <c r="A806" s="7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5.75" customHeight="1" x14ac:dyDescent="0.3">
      <c r="A807" s="7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5.75" customHeight="1" x14ac:dyDescent="0.3">
      <c r="A808" s="7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5.75" customHeight="1" x14ac:dyDescent="0.3">
      <c r="A809" s="7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5.75" customHeight="1" x14ac:dyDescent="0.3">
      <c r="A810" s="7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5.75" customHeight="1" x14ac:dyDescent="0.3">
      <c r="A811" s="7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5.75" customHeight="1" x14ac:dyDescent="0.3">
      <c r="A812" s="7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5.75" customHeight="1" x14ac:dyDescent="0.3">
      <c r="A813" s="7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5.75" customHeight="1" x14ac:dyDescent="0.3">
      <c r="A814" s="7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5.75" customHeight="1" x14ac:dyDescent="0.3">
      <c r="A815" s="7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5.75" customHeight="1" x14ac:dyDescent="0.3">
      <c r="A816" s="7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5.75" customHeight="1" x14ac:dyDescent="0.3">
      <c r="A817" s="7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5.75" customHeight="1" x14ac:dyDescent="0.3">
      <c r="A818" s="7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5.75" customHeight="1" x14ac:dyDescent="0.3">
      <c r="A819" s="7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5.75" customHeight="1" x14ac:dyDescent="0.3">
      <c r="A820" s="7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5.75" customHeight="1" x14ac:dyDescent="0.3">
      <c r="A821" s="7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5.75" customHeight="1" x14ac:dyDescent="0.3">
      <c r="A822" s="7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5.75" customHeight="1" x14ac:dyDescent="0.3">
      <c r="A823" s="7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5.75" customHeight="1" x14ac:dyDescent="0.3">
      <c r="A824" s="7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5.75" customHeight="1" x14ac:dyDescent="0.3">
      <c r="A825" s="7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5.75" customHeight="1" x14ac:dyDescent="0.3">
      <c r="A826" s="7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5.75" customHeight="1" x14ac:dyDescent="0.3">
      <c r="A827" s="7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5.75" customHeight="1" x14ac:dyDescent="0.3">
      <c r="A828" s="7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5.75" customHeight="1" x14ac:dyDescent="0.3">
      <c r="A829" s="7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5.75" customHeight="1" x14ac:dyDescent="0.3">
      <c r="A830" s="7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5.75" customHeight="1" x14ac:dyDescent="0.3">
      <c r="A831" s="7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5.75" customHeight="1" x14ac:dyDescent="0.3">
      <c r="A832" s="7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5.75" customHeight="1" x14ac:dyDescent="0.3">
      <c r="A833" s="7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5.75" customHeight="1" x14ac:dyDescent="0.3">
      <c r="A834" s="7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5.75" customHeight="1" x14ac:dyDescent="0.3">
      <c r="A835" s="7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5.75" customHeight="1" x14ac:dyDescent="0.3">
      <c r="A836" s="7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5.75" customHeight="1" x14ac:dyDescent="0.3">
      <c r="A837" s="7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5.75" customHeight="1" x14ac:dyDescent="0.3">
      <c r="A838" s="7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5.75" customHeight="1" x14ac:dyDescent="0.3">
      <c r="A839" s="7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5.75" customHeight="1" x14ac:dyDescent="0.3">
      <c r="A840" s="7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5.75" customHeight="1" x14ac:dyDescent="0.3">
      <c r="A841" s="7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5.75" customHeight="1" x14ac:dyDescent="0.3">
      <c r="A842" s="7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5.75" customHeight="1" x14ac:dyDescent="0.3">
      <c r="A843" s="7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5.75" customHeight="1" x14ac:dyDescent="0.3">
      <c r="A844" s="7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5.75" customHeight="1" x14ac:dyDescent="0.3">
      <c r="A845" s="7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5.75" customHeight="1" x14ac:dyDescent="0.3">
      <c r="A846" s="7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5.75" customHeight="1" x14ac:dyDescent="0.3">
      <c r="A847" s="7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5.75" customHeight="1" x14ac:dyDescent="0.3">
      <c r="A848" s="7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5.75" customHeight="1" x14ac:dyDescent="0.3">
      <c r="A849" s="7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5.75" customHeight="1" x14ac:dyDescent="0.3">
      <c r="A850" s="7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5.75" customHeight="1" x14ac:dyDescent="0.3">
      <c r="A851" s="7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5.75" customHeight="1" x14ac:dyDescent="0.3">
      <c r="A852" s="7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5.75" customHeight="1" x14ac:dyDescent="0.3">
      <c r="A853" s="7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5.75" customHeight="1" x14ac:dyDescent="0.3">
      <c r="A854" s="7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5.75" customHeight="1" x14ac:dyDescent="0.3">
      <c r="A855" s="7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5.75" customHeight="1" x14ac:dyDescent="0.3">
      <c r="A856" s="7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5.75" customHeight="1" x14ac:dyDescent="0.3">
      <c r="A857" s="7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5.75" customHeight="1" x14ac:dyDescent="0.3">
      <c r="A858" s="7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5.75" customHeight="1" x14ac:dyDescent="0.3">
      <c r="A859" s="7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5.75" customHeight="1" x14ac:dyDescent="0.3">
      <c r="A860" s="7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5.75" customHeight="1" x14ac:dyDescent="0.3">
      <c r="A861" s="7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5.75" customHeight="1" x14ac:dyDescent="0.3">
      <c r="A862" s="7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5.75" customHeight="1" x14ac:dyDescent="0.3">
      <c r="A863" s="7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5.75" customHeight="1" x14ac:dyDescent="0.3">
      <c r="A864" s="7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5.75" customHeight="1" x14ac:dyDescent="0.3">
      <c r="A865" s="7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5.75" customHeight="1" x14ac:dyDescent="0.3">
      <c r="A866" s="7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5.75" customHeight="1" x14ac:dyDescent="0.3">
      <c r="A867" s="7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5.75" customHeight="1" x14ac:dyDescent="0.3">
      <c r="A868" s="7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5.75" customHeight="1" x14ac:dyDescent="0.3">
      <c r="A869" s="7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5.75" customHeight="1" x14ac:dyDescent="0.3">
      <c r="A870" s="7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5.75" customHeight="1" x14ac:dyDescent="0.3">
      <c r="A871" s="7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5.75" customHeight="1" x14ac:dyDescent="0.3">
      <c r="A872" s="7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5.75" customHeight="1" x14ac:dyDescent="0.3">
      <c r="A873" s="7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5.75" customHeight="1" x14ac:dyDescent="0.3">
      <c r="A874" s="7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5.75" customHeight="1" x14ac:dyDescent="0.3">
      <c r="A875" s="7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5.75" customHeight="1" x14ac:dyDescent="0.3">
      <c r="A876" s="7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5.75" customHeight="1" x14ac:dyDescent="0.3">
      <c r="A877" s="7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5.75" customHeight="1" x14ac:dyDescent="0.3">
      <c r="A878" s="7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5.75" customHeight="1" x14ac:dyDescent="0.3">
      <c r="A879" s="7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5.75" customHeight="1" x14ac:dyDescent="0.3">
      <c r="A880" s="7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5.75" customHeight="1" x14ac:dyDescent="0.3">
      <c r="A881" s="7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5.75" customHeight="1" x14ac:dyDescent="0.3">
      <c r="A882" s="7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5.75" customHeight="1" x14ac:dyDescent="0.3">
      <c r="A883" s="7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5.75" customHeight="1" x14ac:dyDescent="0.3">
      <c r="A884" s="7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5.75" customHeight="1" x14ac:dyDescent="0.3">
      <c r="A885" s="7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5.75" customHeight="1" x14ac:dyDescent="0.3">
      <c r="A886" s="7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5.75" customHeight="1" x14ac:dyDescent="0.3">
      <c r="A887" s="7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5.75" customHeight="1" x14ac:dyDescent="0.3">
      <c r="A888" s="7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5.75" customHeight="1" x14ac:dyDescent="0.3">
      <c r="A889" s="7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5.75" customHeight="1" x14ac:dyDescent="0.3">
      <c r="A890" s="7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5.75" customHeight="1" x14ac:dyDescent="0.3">
      <c r="A891" s="7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5.75" customHeight="1" x14ac:dyDescent="0.3">
      <c r="A892" s="7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5.75" customHeight="1" x14ac:dyDescent="0.3">
      <c r="A893" s="7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5.75" customHeight="1" x14ac:dyDescent="0.3">
      <c r="A894" s="7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5.75" customHeight="1" x14ac:dyDescent="0.3">
      <c r="A895" s="7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5.75" customHeight="1" x14ac:dyDescent="0.3">
      <c r="A896" s="7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5.75" customHeight="1" x14ac:dyDescent="0.3">
      <c r="A897" s="7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5.75" customHeight="1" x14ac:dyDescent="0.3">
      <c r="A898" s="7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5.75" customHeight="1" x14ac:dyDescent="0.3">
      <c r="A899" s="7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5.75" customHeight="1" x14ac:dyDescent="0.3">
      <c r="A900" s="7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5.75" customHeight="1" x14ac:dyDescent="0.3">
      <c r="A901" s="7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5.75" customHeight="1" x14ac:dyDescent="0.3">
      <c r="A902" s="7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5.75" customHeight="1" x14ac:dyDescent="0.3">
      <c r="A903" s="7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5.75" customHeight="1" x14ac:dyDescent="0.3">
      <c r="A904" s="7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5.75" customHeight="1" x14ac:dyDescent="0.3">
      <c r="A905" s="7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5.75" customHeight="1" x14ac:dyDescent="0.3">
      <c r="A906" s="7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5.75" customHeight="1" x14ac:dyDescent="0.3">
      <c r="A907" s="7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5.75" customHeight="1" x14ac:dyDescent="0.3">
      <c r="A908" s="7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5.75" customHeight="1" x14ac:dyDescent="0.3">
      <c r="A909" s="7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5.75" customHeight="1" x14ac:dyDescent="0.3">
      <c r="A910" s="7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5.75" customHeight="1" x14ac:dyDescent="0.3">
      <c r="A911" s="7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5.75" customHeight="1" x14ac:dyDescent="0.3">
      <c r="A912" s="7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5.75" customHeight="1" x14ac:dyDescent="0.3">
      <c r="A913" s="7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5.75" customHeight="1" x14ac:dyDescent="0.3">
      <c r="A914" s="7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5.75" customHeight="1" x14ac:dyDescent="0.3">
      <c r="A915" s="7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5.75" customHeight="1" x14ac:dyDescent="0.3">
      <c r="A916" s="7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5.75" customHeight="1" x14ac:dyDescent="0.3">
      <c r="A917" s="7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5.75" customHeight="1" x14ac:dyDescent="0.3">
      <c r="A918" s="7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5.75" customHeight="1" x14ac:dyDescent="0.3">
      <c r="A919" s="7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5.75" customHeight="1" x14ac:dyDescent="0.3">
      <c r="A920" s="7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5.75" customHeight="1" x14ac:dyDescent="0.3">
      <c r="A921" s="7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5.75" customHeight="1" x14ac:dyDescent="0.3">
      <c r="A922" s="7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5.75" customHeight="1" x14ac:dyDescent="0.3">
      <c r="A923" s="7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5.75" customHeight="1" x14ac:dyDescent="0.3">
      <c r="A924" s="7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5.75" customHeight="1" x14ac:dyDescent="0.3">
      <c r="A925" s="7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5.75" customHeight="1" x14ac:dyDescent="0.3">
      <c r="A926" s="7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5.75" customHeight="1" x14ac:dyDescent="0.3">
      <c r="A927" s="7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5.75" customHeight="1" x14ac:dyDescent="0.3">
      <c r="A928" s="7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5.75" customHeight="1" x14ac:dyDescent="0.3">
      <c r="A929" s="7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5.75" customHeight="1" x14ac:dyDescent="0.3">
      <c r="A930" s="7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5.75" customHeight="1" x14ac:dyDescent="0.3">
      <c r="A931" s="7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5.75" customHeight="1" x14ac:dyDescent="0.3">
      <c r="A932" s="7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5.75" customHeight="1" x14ac:dyDescent="0.3">
      <c r="A933" s="7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5.75" customHeight="1" x14ac:dyDescent="0.3">
      <c r="A934" s="7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5.75" customHeight="1" x14ac:dyDescent="0.3">
      <c r="A935" s="7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5.75" customHeight="1" x14ac:dyDescent="0.3">
      <c r="A936" s="7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5.75" customHeight="1" x14ac:dyDescent="0.3">
      <c r="A937" s="7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5.75" customHeight="1" x14ac:dyDescent="0.3">
      <c r="A938" s="7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5.75" customHeight="1" x14ac:dyDescent="0.3">
      <c r="A939" s="7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5.75" customHeight="1" x14ac:dyDescent="0.3">
      <c r="A940" s="7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5.75" customHeight="1" x14ac:dyDescent="0.3">
      <c r="A941" s="7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5.75" customHeight="1" x14ac:dyDescent="0.3">
      <c r="A942" s="7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5.75" customHeight="1" x14ac:dyDescent="0.3">
      <c r="A943" s="7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5.75" customHeight="1" x14ac:dyDescent="0.3">
      <c r="A944" s="7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5.75" customHeight="1" x14ac:dyDescent="0.3">
      <c r="A945" s="7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5.75" customHeight="1" x14ac:dyDescent="0.3">
      <c r="A946" s="7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5.75" customHeight="1" x14ac:dyDescent="0.3">
      <c r="A947" s="7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5.75" customHeight="1" x14ac:dyDescent="0.3">
      <c r="A948" s="7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5.75" customHeight="1" x14ac:dyDescent="0.3">
      <c r="A949" s="7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5.75" customHeight="1" x14ac:dyDescent="0.3">
      <c r="A950" s="7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5.75" customHeight="1" x14ac:dyDescent="0.3">
      <c r="A951" s="7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5.75" customHeight="1" x14ac:dyDescent="0.3">
      <c r="A952" s="7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5.75" customHeight="1" x14ac:dyDescent="0.3">
      <c r="A953" s="7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5.75" customHeight="1" x14ac:dyDescent="0.3">
      <c r="A954" s="7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5.75" customHeight="1" x14ac:dyDescent="0.3">
      <c r="A955" s="7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5.75" customHeight="1" x14ac:dyDescent="0.3">
      <c r="A956" s="7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5.75" customHeight="1" x14ac:dyDescent="0.3">
      <c r="A957" s="7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5.75" customHeight="1" x14ac:dyDescent="0.3">
      <c r="A958" s="7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5.75" customHeight="1" x14ac:dyDescent="0.3">
      <c r="A959" s="7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5.75" customHeight="1" x14ac:dyDescent="0.3">
      <c r="A960" s="7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5.75" customHeight="1" x14ac:dyDescent="0.3">
      <c r="A961" s="7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5.75" customHeight="1" x14ac:dyDescent="0.3">
      <c r="A962" s="7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5.75" customHeight="1" x14ac:dyDescent="0.3">
      <c r="A963" s="7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5.75" customHeight="1" x14ac:dyDescent="0.3">
      <c r="A964" s="7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5.75" customHeight="1" x14ac:dyDescent="0.3">
      <c r="A965" s="7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5.75" customHeight="1" x14ac:dyDescent="0.3">
      <c r="A966" s="7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5.75" customHeight="1" x14ac:dyDescent="0.3">
      <c r="A967" s="7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5.75" customHeight="1" x14ac:dyDescent="0.3">
      <c r="A968" s="7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5.75" customHeight="1" x14ac:dyDescent="0.3">
      <c r="A969" s="7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5.75" customHeight="1" x14ac:dyDescent="0.3">
      <c r="A970" s="7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5.75" customHeight="1" x14ac:dyDescent="0.3">
      <c r="A971" s="7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5.75" customHeight="1" x14ac:dyDescent="0.3">
      <c r="A972" s="7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5.75" customHeight="1" x14ac:dyDescent="0.3">
      <c r="A973" s="7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5.75" customHeight="1" x14ac:dyDescent="0.3">
      <c r="A974" s="7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5.75" customHeight="1" x14ac:dyDescent="0.3">
      <c r="A975" s="7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5.75" customHeight="1" x14ac:dyDescent="0.3">
      <c r="A976" s="7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5.75" customHeight="1" x14ac:dyDescent="0.3">
      <c r="A977" s="7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5.75" customHeight="1" x14ac:dyDescent="0.3">
      <c r="A978" s="7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5.75" customHeight="1" x14ac:dyDescent="0.3">
      <c r="A979" s="7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5.75" customHeight="1" x14ac:dyDescent="0.3">
      <c r="A980" s="7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5.75" customHeight="1" x14ac:dyDescent="0.3">
      <c r="A981" s="7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5.75" customHeight="1" x14ac:dyDescent="0.3">
      <c r="A982" s="7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5.75" customHeight="1" x14ac:dyDescent="0.3">
      <c r="A983" s="7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5.75" customHeight="1" x14ac:dyDescent="0.3">
      <c r="A984" s="7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5.75" customHeight="1" x14ac:dyDescent="0.3">
      <c r="A985" s="7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5.75" customHeight="1" x14ac:dyDescent="0.3">
      <c r="A986" s="7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5.75" customHeight="1" x14ac:dyDescent="0.3">
      <c r="A987" s="7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5.75" customHeight="1" x14ac:dyDescent="0.3">
      <c r="A988" s="7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5.75" customHeight="1" x14ac:dyDescent="0.3">
      <c r="A989" s="7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5.75" customHeight="1" x14ac:dyDescent="0.3">
      <c r="A990" s="7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5.75" customHeight="1" x14ac:dyDescent="0.3">
      <c r="A991" s="7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5.75" customHeight="1" x14ac:dyDescent="0.3">
      <c r="A992" s="7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5.75" customHeight="1" x14ac:dyDescent="0.3">
      <c r="A993" s="7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5.75" customHeight="1" x14ac:dyDescent="0.3">
      <c r="A994" s="7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5.75" customHeight="1" x14ac:dyDescent="0.3">
      <c r="A995" s="7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5.75" customHeight="1" x14ac:dyDescent="0.3">
      <c r="A996" s="7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5.75" customHeight="1" x14ac:dyDescent="0.3">
      <c r="A997" s="7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5.75" customHeight="1" x14ac:dyDescent="0.3">
      <c r="A998" s="7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5.75" customHeight="1" x14ac:dyDescent="0.3">
      <c r="A999" s="7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5.75" customHeight="1" x14ac:dyDescent="0.3">
      <c r="A1000" s="7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>
      <pane ySplit="1" topLeftCell="A2" activePane="bottomLeft" state="frozen"/>
      <selection pane="bottomLeft"/>
    </sheetView>
  </sheetViews>
  <sheetFormatPr defaultColWidth="14.44140625" defaultRowHeight="15" customHeight="1" x14ac:dyDescent="0.3"/>
  <cols>
    <col min="1" max="1" width="16" customWidth="1"/>
    <col min="2" max="2" width="21" customWidth="1"/>
    <col min="3" max="3" width="13" customWidth="1"/>
    <col min="4" max="4" width="18" customWidth="1"/>
    <col min="5" max="5" width="13" customWidth="1"/>
    <col min="6" max="6" width="14" customWidth="1"/>
    <col min="7" max="9" width="13" customWidth="1"/>
    <col min="10" max="10" width="16" customWidth="1"/>
    <col min="11" max="11" width="13" customWidth="1"/>
    <col min="12" max="12" width="18" customWidth="1"/>
    <col min="13" max="13" width="21" customWidth="1"/>
    <col min="14" max="14" width="14" customWidth="1"/>
    <col min="15" max="15" width="22" customWidth="1"/>
    <col min="16" max="16" width="13" customWidth="1"/>
    <col min="17" max="17" width="23" customWidth="1"/>
    <col min="18" max="18" width="25" customWidth="1"/>
    <col min="19" max="19" width="23" customWidth="1"/>
    <col min="20" max="26" width="22" customWidth="1"/>
  </cols>
  <sheetData>
    <row r="1" spans="1:26" ht="14.4" x14ac:dyDescent="0.3">
      <c r="A1" s="8" t="s">
        <v>16</v>
      </c>
      <c r="B1" s="8" t="s">
        <v>17</v>
      </c>
      <c r="C1" s="8" t="s">
        <v>18</v>
      </c>
      <c r="D1" s="8" t="s">
        <v>19</v>
      </c>
      <c r="E1" s="8" t="s">
        <v>20</v>
      </c>
      <c r="F1" s="8" t="s">
        <v>21</v>
      </c>
      <c r="G1" s="8" t="s">
        <v>22</v>
      </c>
      <c r="H1" s="8" t="s">
        <v>23</v>
      </c>
      <c r="I1" s="8" t="s">
        <v>24</v>
      </c>
      <c r="J1" s="8" t="s">
        <v>25</v>
      </c>
      <c r="K1" s="8" t="s">
        <v>2</v>
      </c>
      <c r="L1" s="8" t="s">
        <v>26</v>
      </c>
      <c r="M1" s="8" t="s">
        <v>27</v>
      </c>
      <c r="N1" s="8" t="s">
        <v>28</v>
      </c>
      <c r="O1" s="8" t="s">
        <v>29</v>
      </c>
      <c r="P1" s="8" t="s">
        <v>30</v>
      </c>
      <c r="Q1" s="8" t="s">
        <v>31</v>
      </c>
      <c r="R1" s="8" t="s">
        <v>32</v>
      </c>
      <c r="S1" s="8" t="s">
        <v>33</v>
      </c>
      <c r="T1" s="1"/>
      <c r="U1" s="1"/>
      <c r="V1" s="1"/>
      <c r="W1" s="1"/>
      <c r="X1" s="1"/>
      <c r="Y1" s="1"/>
      <c r="Z1" s="1"/>
    </row>
    <row r="2" spans="1:26" ht="14.4" x14ac:dyDescent="0.3">
      <c r="A2" s="9" t="s">
        <v>34</v>
      </c>
      <c r="B2" s="10">
        <v>45393</v>
      </c>
      <c r="C2" s="9" t="s">
        <v>35</v>
      </c>
      <c r="D2" s="9" t="s">
        <v>36</v>
      </c>
      <c r="E2" s="9" t="s">
        <v>37</v>
      </c>
      <c r="F2" s="9" t="s">
        <v>38</v>
      </c>
      <c r="G2" s="9" t="s">
        <v>39</v>
      </c>
      <c r="H2" s="9">
        <v>3</v>
      </c>
      <c r="I2" s="11">
        <v>249.99</v>
      </c>
      <c r="J2" s="9" t="s">
        <v>40</v>
      </c>
      <c r="K2" s="9" t="s">
        <v>41</v>
      </c>
      <c r="L2" s="9" t="s">
        <v>42</v>
      </c>
      <c r="M2" s="10">
        <v>44425</v>
      </c>
      <c r="N2" s="11">
        <v>749.97</v>
      </c>
      <c r="O2" s="12" t="str">
        <f t="shared" ref="O2:O65" si="0">TEXT(B2,"yyyy-mm")</f>
        <v>2024-04</v>
      </c>
      <c r="P2" s="12">
        <f t="shared" ref="P2:P65" si="1">YEAR(B2)</f>
        <v>2024</v>
      </c>
      <c r="Q2" s="12">
        <f t="shared" ref="Q2:Q65" si="2">DATEDIF(M2,B2,"Y")</f>
        <v>2</v>
      </c>
      <c r="R2" s="12" t="str">
        <f t="shared" ref="R2:R65" si="3">UPPER(LEFT(D2,1)&amp;MID(D2,FIND(" ",D2)+1,1))</f>
        <v>PB</v>
      </c>
      <c r="S2" s="13">
        <f t="shared" ref="S2:S65" ca="1" si="4">NOW()</f>
        <v>46309.658403472225</v>
      </c>
    </row>
    <row r="3" spans="1:26" ht="14.4" x14ac:dyDescent="0.3">
      <c r="A3" s="9" t="s">
        <v>43</v>
      </c>
      <c r="B3" s="10">
        <v>45396</v>
      </c>
      <c r="C3" s="9" t="s">
        <v>44</v>
      </c>
      <c r="D3" s="9" t="s">
        <v>45</v>
      </c>
      <c r="E3" s="9" t="s">
        <v>37</v>
      </c>
      <c r="F3" s="9" t="s">
        <v>38</v>
      </c>
      <c r="G3" s="9" t="s">
        <v>39</v>
      </c>
      <c r="H3" s="9">
        <v>3</v>
      </c>
      <c r="I3" s="11">
        <v>249.99</v>
      </c>
      <c r="J3" s="9" t="s">
        <v>46</v>
      </c>
      <c r="K3" s="9" t="s">
        <v>41</v>
      </c>
      <c r="L3" s="9" t="s">
        <v>47</v>
      </c>
      <c r="M3" s="10">
        <v>44575</v>
      </c>
      <c r="N3" s="11">
        <v>749.97</v>
      </c>
      <c r="O3" s="12" t="str">
        <f t="shared" si="0"/>
        <v>2024-04</v>
      </c>
      <c r="P3" s="12">
        <f t="shared" si="1"/>
        <v>2024</v>
      </c>
      <c r="Q3" s="12">
        <f t="shared" si="2"/>
        <v>2</v>
      </c>
      <c r="R3" s="12" t="str">
        <f t="shared" si="3"/>
        <v>JJ</v>
      </c>
      <c r="S3" s="13">
        <f t="shared" ca="1" si="4"/>
        <v>46309.658403472225</v>
      </c>
    </row>
    <row r="4" spans="1:26" ht="14.4" x14ac:dyDescent="0.3">
      <c r="A4" s="9" t="s">
        <v>48</v>
      </c>
      <c r="B4" s="10">
        <v>45399</v>
      </c>
      <c r="C4" s="9" t="s">
        <v>49</v>
      </c>
      <c r="D4" s="9" t="s">
        <v>50</v>
      </c>
      <c r="E4" s="9" t="s">
        <v>51</v>
      </c>
      <c r="F4" s="9" t="s">
        <v>52</v>
      </c>
      <c r="G4" s="9" t="s">
        <v>53</v>
      </c>
      <c r="H4" s="9">
        <v>3</v>
      </c>
      <c r="I4" s="11">
        <v>59.99</v>
      </c>
      <c r="J4" s="9" t="s">
        <v>54</v>
      </c>
      <c r="K4" s="9" t="s">
        <v>55</v>
      </c>
      <c r="L4" s="9" t="s">
        <v>56</v>
      </c>
      <c r="M4" s="10">
        <v>45262</v>
      </c>
      <c r="N4" s="11">
        <v>179.97</v>
      </c>
      <c r="O4" s="12" t="str">
        <f t="shared" si="0"/>
        <v>2024-04</v>
      </c>
      <c r="P4" s="12">
        <f t="shared" si="1"/>
        <v>2024</v>
      </c>
      <c r="Q4" s="12">
        <f t="shared" si="2"/>
        <v>0</v>
      </c>
      <c r="R4" s="12" t="str">
        <f t="shared" si="3"/>
        <v>KS</v>
      </c>
      <c r="S4" s="13">
        <f t="shared" ca="1" si="4"/>
        <v>46309.658403472225</v>
      </c>
    </row>
    <row r="5" spans="1:26" ht="14.4" x14ac:dyDescent="0.3">
      <c r="A5" s="9" t="s">
        <v>57</v>
      </c>
      <c r="B5" s="10">
        <v>45400</v>
      </c>
      <c r="C5" s="9" t="s">
        <v>58</v>
      </c>
      <c r="D5" s="9" t="s">
        <v>59</v>
      </c>
      <c r="E5" s="9" t="s">
        <v>51</v>
      </c>
      <c r="F5" s="9" t="s">
        <v>52</v>
      </c>
      <c r="G5" s="9" t="s">
        <v>53</v>
      </c>
      <c r="H5" s="9">
        <v>3</v>
      </c>
      <c r="I5" s="11">
        <v>59.99</v>
      </c>
      <c r="J5" s="9" t="s">
        <v>40</v>
      </c>
      <c r="K5" s="9" t="s">
        <v>60</v>
      </c>
      <c r="L5" s="9" t="s">
        <v>47</v>
      </c>
      <c r="M5" s="10">
        <v>45114</v>
      </c>
      <c r="N5" s="11">
        <v>179.97</v>
      </c>
      <c r="O5" s="12" t="str">
        <f t="shared" si="0"/>
        <v>2024-04</v>
      </c>
      <c r="P5" s="12">
        <f t="shared" si="1"/>
        <v>2024</v>
      </c>
      <c r="Q5" s="12">
        <f t="shared" si="2"/>
        <v>0</v>
      </c>
      <c r="R5" s="12" t="str">
        <f t="shared" si="3"/>
        <v>KB</v>
      </c>
      <c r="S5" s="13">
        <f t="shared" ca="1" si="4"/>
        <v>46309.658403472225</v>
      </c>
    </row>
    <row r="6" spans="1:26" ht="14.4" x14ac:dyDescent="0.3">
      <c r="A6" s="9" t="s">
        <v>61</v>
      </c>
      <c r="B6" s="10">
        <v>45400</v>
      </c>
      <c r="C6" s="9" t="s">
        <v>62</v>
      </c>
      <c r="D6" s="9" t="s">
        <v>63</v>
      </c>
      <c r="E6" s="9" t="s">
        <v>64</v>
      </c>
      <c r="F6" s="9" t="s">
        <v>65</v>
      </c>
      <c r="G6" s="9" t="s">
        <v>66</v>
      </c>
      <c r="H6" s="9">
        <v>5</v>
      </c>
      <c r="I6" s="11">
        <v>149.99</v>
      </c>
      <c r="J6" s="9" t="s">
        <v>46</v>
      </c>
      <c r="K6" s="9" t="s">
        <v>60</v>
      </c>
      <c r="L6" s="9" t="s">
        <v>47</v>
      </c>
      <c r="M6" s="10">
        <v>45295</v>
      </c>
      <c r="N6" s="11">
        <v>749.95</v>
      </c>
      <c r="O6" s="12" t="str">
        <f t="shared" si="0"/>
        <v>2024-04</v>
      </c>
      <c r="P6" s="12">
        <f t="shared" si="1"/>
        <v>2024</v>
      </c>
      <c r="Q6" s="12">
        <f t="shared" si="2"/>
        <v>0</v>
      </c>
      <c r="R6" s="12" t="str">
        <f t="shared" si="3"/>
        <v>MB</v>
      </c>
      <c r="S6" s="13">
        <f t="shared" ca="1" si="4"/>
        <v>46309.658403472225</v>
      </c>
    </row>
    <row r="7" spans="1:26" ht="14.4" x14ac:dyDescent="0.3">
      <c r="A7" s="9" t="s">
        <v>67</v>
      </c>
      <c r="B7" s="10">
        <v>45403</v>
      </c>
      <c r="C7" s="9" t="s">
        <v>68</v>
      </c>
      <c r="D7" s="9" t="s">
        <v>69</v>
      </c>
      <c r="E7" s="9" t="s">
        <v>51</v>
      </c>
      <c r="F7" s="9" t="s">
        <v>52</v>
      </c>
      <c r="G7" s="9" t="s">
        <v>53</v>
      </c>
      <c r="H7" s="9">
        <v>2</v>
      </c>
      <c r="I7" s="11">
        <v>59.99</v>
      </c>
      <c r="J7" s="9" t="s">
        <v>40</v>
      </c>
      <c r="K7" s="9" t="s">
        <v>70</v>
      </c>
      <c r="L7" s="9" t="s">
        <v>56</v>
      </c>
      <c r="M7" s="10">
        <v>44746</v>
      </c>
      <c r="N7" s="11">
        <v>119.98</v>
      </c>
      <c r="O7" s="12" t="str">
        <f t="shared" si="0"/>
        <v>2024-04</v>
      </c>
      <c r="P7" s="12">
        <f t="shared" si="1"/>
        <v>2024</v>
      </c>
      <c r="Q7" s="12">
        <f t="shared" si="2"/>
        <v>1</v>
      </c>
      <c r="R7" s="12" t="str">
        <f t="shared" si="3"/>
        <v>DN</v>
      </c>
      <c r="S7" s="13">
        <f t="shared" ca="1" si="4"/>
        <v>46309.658403472225</v>
      </c>
    </row>
    <row r="8" spans="1:26" ht="14.4" x14ac:dyDescent="0.3">
      <c r="A8" s="9" t="s">
        <v>71</v>
      </c>
      <c r="B8" s="10">
        <v>45403</v>
      </c>
      <c r="C8" s="9" t="s">
        <v>68</v>
      </c>
      <c r="D8" s="9" t="s">
        <v>69</v>
      </c>
      <c r="E8" s="9" t="s">
        <v>72</v>
      </c>
      <c r="F8" s="9" t="s">
        <v>73</v>
      </c>
      <c r="G8" s="9" t="s">
        <v>39</v>
      </c>
      <c r="H8" s="9">
        <v>5</v>
      </c>
      <c r="I8" s="11">
        <v>149.99</v>
      </c>
      <c r="J8" s="9" t="s">
        <v>46</v>
      </c>
      <c r="K8" s="9" t="s">
        <v>41</v>
      </c>
      <c r="L8" s="9" t="s">
        <v>56</v>
      </c>
      <c r="M8" s="10">
        <v>44418</v>
      </c>
      <c r="N8" s="11">
        <v>749.95</v>
      </c>
      <c r="O8" s="12" t="str">
        <f t="shared" si="0"/>
        <v>2024-04</v>
      </c>
      <c r="P8" s="12">
        <f t="shared" si="1"/>
        <v>2024</v>
      </c>
      <c r="Q8" s="12">
        <f t="shared" si="2"/>
        <v>2</v>
      </c>
      <c r="R8" s="12" t="str">
        <f t="shared" si="3"/>
        <v>DN</v>
      </c>
      <c r="S8" s="13">
        <f t="shared" ca="1" si="4"/>
        <v>46309.658403472225</v>
      </c>
    </row>
    <row r="9" spans="1:26" ht="14.4" x14ac:dyDescent="0.3">
      <c r="A9" s="9" t="s">
        <v>74</v>
      </c>
      <c r="B9" s="10">
        <v>45403</v>
      </c>
      <c r="C9" s="9" t="s">
        <v>75</v>
      </c>
      <c r="D9" s="9" t="s">
        <v>76</v>
      </c>
      <c r="E9" s="9" t="s">
        <v>51</v>
      </c>
      <c r="F9" s="9" t="s">
        <v>52</v>
      </c>
      <c r="G9" s="9" t="s">
        <v>53</v>
      </c>
      <c r="H9" s="9">
        <v>3</v>
      </c>
      <c r="I9" s="11">
        <v>59.99</v>
      </c>
      <c r="J9" s="9" t="s">
        <v>77</v>
      </c>
      <c r="K9" s="9" t="s">
        <v>55</v>
      </c>
      <c r="L9" s="9" t="s">
        <v>42</v>
      </c>
      <c r="M9" s="10">
        <v>45007</v>
      </c>
      <c r="N9" s="11">
        <v>179.97</v>
      </c>
      <c r="O9" s="12" t="str">
        <f t="shared" si="0"/>
        <v>2024-04</v>
      </c>
      <c r="P9" s="12">
        <f t="shared" si="1"/>
        <v>2024</v>
      </c>
      <c r="Q9" s="12">
        <f t="shared" si="2"/>
        <v>1</v>
      </c>
      <c r="R9" s="12" t="str">
        <f t="shared" si="3"/>
        <v>CA</v>
      </c>
      <c r="S9" s="13">
        <f t="shared" ca="1" si="4"/>
        <v>46309.658403472225</v>
      </c>
    </row>
    <row r="10" spans="1:26" ht="14.4" x14ac:dyDescent="0.3">
      <c r="A10" s="9" t="s">
        <v>78</v>
      </c>
      <c r="B10" s="10">
        <v>45405</v>
      </c>
      <c r="C10" s="9" t="s">
        <v>79</v>
      </c>
      <c r="D10" s="9" t="s">
        <v>80</v>
      </c>
      <c r="E10" s="9" t="s">
        <v>81</v>
      </c>
      <c r="F10" s="9" t="s">
        <v>82</v>
      </c>
      <c r="G10" s="9" t="s">
        <v>39</v>
      </c>
      <c r="H10" s="9">
        <v>3</v>
      </c>
      <c r="I10" s="11">
        <v>899.99</v>
      </c>
      <c r="J10" s="9" t="s">
        <v>54</v>
      </c>
      <c r="K10" s="9" t="s">
        <v>83</v>
      </c>
      <c r="L10" s="9" t="s">
        <v>56</v>
      </c>
      <c r="M10" s="10">
        <v>45299</v>
      </c>
      <c r="N10" s="11">
        <v>2699.97</v>
      </c>
      <c r="O10" s="12" t="str">
        <f t="shared" si="0"/>
        <v>2024-04</v>
      </c>
      <c r="P10" s="12">
        <f t="shared" si="1"/>
        <v>2024</v>
      </c>
      <c r="Q10" s="12">
        <f t="shared" si="2"/>
        <v>0</v>
      </c>
      <c r="R10" s="12" t="str">
        <f t="shared" si="3"/>
        <v>RT</v>
      </c>
      <c r="S10" s="13">
        <f t="shared" ca="1" si="4"/>
        <v>46309.658403472225</v>
      </c>
    </row>
    <row r="11" spans="1:26" ht="14.4" x14ac:dyDescent="0.3">
      <c r="A11" s="9" t="s">
        <v>84</v>
      </c>
      <c r="B11" s="10">
        <v>45408</v>
      </c>
      <c r="C11" s="9" t="s">
        <v>85</v>
      </c>
      <c r="D11" s="9" t="s">
        <v>86</v>
      </c>
      <c r="E11" s="9" t="s">
        <v>51</v>
      </c>
      <c r="F11" s="9" t="s">
        <v>52</v>
      </c>
      <c r="G11" s="9" t="s">
        <v>53</v>
      </c>
      <c r="H11" s="9">
        <v>3</v>
      </c>
      <c r="I11" s="11">
        <v>59.99</v>
      </c>
      <c r="J11" s="9" t="s">
        <v>40</v>
      </c>
      <c r="K11" s="9" t="s">
        <v>70</v>
      </c>
      <c r="L11" s="9" t="s">
        <v>47</v>
      </c>
      <c r="M11" s="10">
        <v>45207</v>
      </c>
      <c r="N11" s="11">
        <v>179.97</v>
      </c>
      <c r="O11" s="12" t="str">
        <f t="shared" si="0"/>
        <v>2024-04</v>
      </c>
      <c r="P11" s="12">
        <f t="shared" si="1"/>
        <v>2024</v>
      </c>
      <c r="Q11" s="12">
        <f t="shared" si="2"/>
        <v>0</v>
      </c>
      <c r="R11" s="12" t="str">
        <f t="shared" si="3"/>
        <v>KH</v>
      </c>
      <c r="S11" s="13">
        <f t="shared" ca="1" si="4"/>
        <v>46309.658403472225</v>
      </c>
    </row>
    <row r="12" spans="1:26" ht="14.4" x14ac:dyDescent="0.3">
      <c r="A12" s="9" t="s">
        <v>87</v>
      </c>
      <c r="B12" s="10">
        <v>45408</v>
      </c>
      <c r="C12" s="9" t="s">
        <v>88</v>
      </c>
      <c r="D12" s="9" t="s">
        <v>89</v>
      </c>
      <c r="E12" s="9" t="s">
        <v>64</v>
      </c>
      <c r="F12" s="9" t="s">
        <v>65</v>
      </c>
      <c r="G12" s="9" t="s">
        <v>66</v>
      </c>
      <c r="H12" s="9">
        <v>1</v>
      </c>
      <c r="I12" s="11">
        <v>149.99</v>
      </c>
      <c r="J12" s="9" t="s">
        <v>46</v>
      </c>
      <c r="K12" s="9" t="s">
        <v>70</v>
      </c>
      <c r="L12" s="9" t="s">
        <v>56</v>
      </c>
      <c r="M12" s="10">
        <v>45103</v>
      </c>
      <c r="N12" s="11">
        <v>149.99</v>
      </c>
      <c r="O12" s="12" t="str">
        <f t="shared" si="0"/>
        <v>2024-04</v>
      </c>
      <c r="P12" s="12">
        <f t="shared" si="1"/>
        <v>2024</v>
      </c>
      <c r="Q12" s="12">
        <f t="shared" si="2"/>
        <v>0</v>
      </c>
      <c r="R12" s="12" t="str">
        <f t="shared" si="3"/>
        <v>SG</v>
      </c>
      <c r="S12" s="13">
        <f t="shared" ca="1" si="4"/>
        <v>46309.658403472225</v>
      </c>
    </row>
    <row r="13" spans="1:26" ht="14.4" x14ac:dyDescent="0.3">
      <c r="A13" s="9" t="s">
        <v>90</v>
      </c>
      <c r="B13" s="10">
        <v>45408</v>
      </c>
      <c r="C13" s="9" t="s">
        <v>58</v>
      </c>
      <c r="D13" s="9" t="s">
        <v>59</v>
      </c>
      <c r="E13" s="9" t="s">
        <v>64</v>
      </c>
      <c r="F13" s="9" t="s">
        <v>65</v>
      </c>
      <c r="G13" s="9" t="s">
        <v>66</v>
      </c>
      <c r="H13" s="9">
        <v>5</v>
      </c>
      <c r="I13" s="11">
        <v>149.99</v>
      </c>
      <c r="J13" s="9" t="s">
        <v>77</v>
      </c>
      <c r="K13" s="9" t="s">
        <v>60</v>
      </c>
      <c r="L13" s="9" t="s">
        <v>42</v>
      </c>
      <c r="M13" s="10">
        <v>44830</v>
      </c>
      <c r="N13" s="11">
        <v>749.95</v>
      </c>
      <c r="O13" s="12" t="str">
        <f t="shared" si="0"/>
        <v>2024-04</v>
      </c>
      <c r="P13" s="12">
        <f t="shared" si="1"/>
        <v>2024</v>
      </c>
      <c r="Q13" s="12">
        <f t="shared" si="2"/>
        <v>1</v>
      </c>
      <c r="R13" s="12" t="str">
        <f t="shared" si="3"/>
        <v>KB</v>
      </c>
      <c r="S13" s="13">
        <f t="shared" ca="1" si="4"/>
        <v>46309.658403472225</v>
      </c>
    </row>
    <row r="14" spans="1:26" ht="14.4" x14ac:dyDescent="0.3">
      <c r="A14" s="9" t="s">
        <v>91</v>
      </c>
      <c r="B14" s="10">
        <v>45408</v>
      </c>
      <c r="C14" s="9" t="s">
        <v>92</v>
      </c>
      <c r="D14" s="9" t="s">
        <v>93</v>
      </c>
      <c r="E14" s="9" t="s">
        <v>64</v>
      </c>
      <c r="F14" s="9" t="s">
        <v>65</v>
      </c>
      <c r="G14" s="9" t="s">
        <v>66</v>
      </c>
      <c r="H14" s="9">
        <v>3</v>
      </c>
      <c r="I14" s="11">
        <v>149.99</v>
      </c>
      <c r="J14" s="9" t="s">
        <v>40</v>
      </c>
      <c r="K14" s="9" t="s">
        <v>60</v>
      </c>
      <c r="L14" s="9" t="s">
        <v>47</v>
      </c>
      <c r="M14" s="10">
        <v>44806</v>
      </c>
      <c r="N14" s="11">
        <v>449.97</v>
      </c>
      <c r="O14" s="12" t="str">
        <f t="shared" si="0"/>
        <v>2024-04</v>
      </c>
      <c r="P14" s="12">
        <f t="shared" si="1"/>
        <v>2024</v>
      </c>
      <c r="Q14" s="12">
        <f t="shared" si="2"/>
        <v>1</v>
      </c>
      <c r="R14" s="12" t="str">
        <f t="shared" si="3"/>
        <v>PR</v>
      </c>
      <c r="S14" s="13">
        <f t="shared" ca="1" si="4"/>
        <v>46309.658403472225</v>
      </c>
    </row>
    <row r="15" spans="1:26" ht="14.4" x14ac:dyDescent="0.3">
      <c r="A15" s="9" t="s">
        <v>94</v>
      </c>
      <c r="B15" s="10">
        <v>45409</v>
      </c>
      <c r="C15" s="9" t="s">
        <v>95</v>
      </c>
      <c r="D15" s="9" t="s">
        <v>96</v>
      </c>
      <c r="E15" s="9" t="s">
        <v>51</v>
      </c>
      <c r="F15" s="9" t="s">
        <v>52</v>
      </c>
      <c r="G15" s="9" t="s">
        <v>53</v>
      </c>
      <c r="H15" s="9">
        <v>3</v>
      </c>
      <c r="I15" s="11">
        <v>59.99</v>
      </c>
      <c r="J15" s="9" t="s">
        <v>46</v>
      </c>
      <c r="K15" s="9" t="s">
        <v>60</v>
      </c>
      <c r="L15" s="9" t="s">
        <v>56</v>
      </c>
      <c r="M15" s="10">
        <v>45351</v>
      </c>
      <c r="N15" s="11">
        <v>179.97</v>
      </c>
      <c r="O15" s="12" t="str">
        <f t="shared" si="0"/>
        <v>2024-04</v>
      </c>
      <c r="P15" s="12">
        <f t="shared" si="1"/>
        <v>2024</v>
      </c>
      <c r="Q15" s="12">
        <f t="shared" si="2"/>
        <v>0</v>
      </c>
      <c r="R15" s="12" t="str">
        <f t="shared" si="3"/>
        <v>DG</v>
      </c>
      <c r="S15" s="13">
        <f t="shared" ca="1" si="4"/>
        <v>46309.658403472225</v>
      </c>
    </row>
    <row r="16" spans="1:26" ht="14.4" x14ac:dyDescent="0.3">
      <c r="A16" s="9" t="s">
        <v>97</v>
      </c>
      <c r="B16" s="10">
        <v>45409</v>
      </c>
      <c r="C16" s="9" t="s">
        <v>98</v>
      </c>
      <c r="D16" s="9" t="s">
        <v>99</v>
      </c>
      <c r="E16" s="9" t="s">
        <v>100</v>
      </c>
      <c r="F16" s="9" t="s">
        <v>101</v>
      </c>
      <c r="G16" s="9" t="s">
        <v>39</v>
      </c>
      <c r="H16" s="9">
        <v>3</v>
      </c>
      <c r="I16" s="11">
        <v>699.99</v>
      </c>
      <c r="J16" s="9" t="s">
        <v>46</v>
      </c>
      <c r="K16" s="9" t="s">
        <v>70</v>
      </c>
      <c r="L16" s="9" t="s">
        <v>42</v>
      </c>
      <c r="M16" s="10">
        <v>44577</v>
      </c>
      <c r="N16" s="11">
        <v>2099.9699999999998</v>
      </c>
      <c r="O16" s="12" t="str">
        <f t="shared" si="0"/>
        <v>2024-04</v>
      </c>
      <c r="P16" s="12">
        <f t="shared" si="1"/>
        <v>2024</v>
      </c>
      <c r="Q16" s="12">
        <f t="shared" si="2"/>
        <v>2</v>
      </c>
      <c r="R16" s="12" t="str">
        <f t="shared" si="3"/>
        <v>MR</v>
      </c>
      <c r="S16" s="13">
        <f t="shared" ca="1" si="4"/>
        <v>46309.658403472225</v>
      </c>
    </row>
    <row r="17" spans="1:19" ht="14.4" x14ac:dyDescent="0.3">
      <c r="A17" s="9" t="s">
        <v>102</v>
      </c>
      <c r="B17" s="10">
        <v>45409</v>
      </c>
      <c r="C17" s="9" t="s">
        <v>103</v>
      </c>
      <c r="D17" s="9" t="s">
        <v>104</v>
      </c>
      <c r="E17" s="9" t="s">
        <v>81</v>
      </c>
      <c r="F17" s="9" t="s">
        <v>82</v>
      </c>
      <c r="G17" s="9" t="s">
        <v>39</v>
      </c>
      <c r="H17" s="9">
        <v>1</v>
      </c>
      <c r="I17" s="11">
        <v>899.99</v>
      </c>
      <c r="J17" s="9" t="s">
        <v>77</v>
      </c>
      <c r="K17" s="9" t="s">
        <v>60</v>
      </c>
      <c r="L17" s="9" t="s">
        <v>56</v>
      </c>
      <c r="M17" s="10">
        <v>44920</v>
      </c>
      <c r="N17" s="11">
        <v>899.99</v>
      </c>
      <c r="O17" s="12" t="str">
        <f t="shared" si="0"/>
        <v>2024-04</v>
      </c>
      <c r="P17" s="12">
        <f t="shared" si="1"/>
        <v>2024</v>
      </c>
      <c r="Q17" s="12">
        <f t="shared" si="2"/>
        <v>1</v>
      </c>
      <c r="R17" s="12" t="str">
        <f t="shared" si="3"/>
        <v>GA</v>
      </c>
      <c r="S17" s="13">
        <f t="shared" ca="1" si="4"/>
        <v>46309.658403472225</v>
      </c>
    </row>
    <row r="18" spans="1:19" ht="14.4" x14ac:dyDescent="0.3">
      <c r="A18" s="9" t="s">
        <v>105</v>
      </c>
      <c r="B18" s="10">
        <v>45410</v>
      </c>
      <c r="C18" s="9" t="s">
        <v>106</v>
      </c>
      <c r="D18" s="9" t="s">
        <v>107</v>
      </c>
      <c r="E18" s="9" t="s">
        <v>64</v>
      </c>
      <c r="F18" s="9" t="s">
        <v>65</v>
      </c>
      <c r="G18" s="9" t="s">
        <v>66</v>
      </c>
      <c r="H18" s="9">
        <v>4</v>
      </c>
      <c r="I18" s="11">
        <v>149.99</v>
      </c>
      <c r="J18" s="9" t="s">
        <v>77</v>
      </c>
      <c r="K18" s="9" t="s">
        <v>60</v>
      </c>
      <c r="L18" s="9" t="s">
        <v>47</v>
      </c>
      <c r="M18" s="10">
        <v>45374</v>
      </c>
      <c r="N18" s="11">
        <v>599.96</v>
      </c>
      <c r="O18" s="12" t="str">
        <f t="shared" si="0"/>
        <v>2024-04</v>
      </c>
      <c r="P18" s="12">
        <f t="shared" si="1"/>
        <v>2024</v>
      </c>
      <c r="Q18" s="12">
        <f t="shared" si="2"/>
        <v>0</v>
      </c>
      <c r="R18" s="12" t="str">
        <f t="shared" si="3"/>
        <v>MC</v>
      </c>
      <c r="S18" s="13">
        <f t="shared" ca="1" si="4"/>
        <v>46309.658403472225</v>
      </c>
    </row>
    <row r="19" spans="1:19" ht="14.4" x14ac:dyDescent="0.3">
      <c r="A19" s="9" t="s">
        <v>108</v>
      </c>
      <c r="B19" s="10">
        <v>45410</v>
      </c>
      <c r="C19" s="9" t="s">
        <v>109</v>
      </c>
      <c r="D19" s="9" t="s">
        <v>110</v>
      </c>
      <c r="E19" s="9" t="s">
        <v>100</v>
      </c>
      <c r="F19" s="9" t="s">
        <v>101</v>
      </c>
      <c r="G19" s="9" t="s">
        <v>39</v>
      </c>
      <c r="H19" s="9">
        <v>2</v>
      </c>
      <c r="I19" s="11">
        <v>699.99</v>
      </c>
      <c r="J19" s="9" t="s">
        <v>40</v>
      </c>
      <c r="K19" s="9" t="s">
        <v>60</v>
      </c>
      <c r="L19" s="9" t="s">
        <v>42</v>
      </c>
      <c r="M19" s="10">
        <v>44781</v>
      </c>
      <c r="N19" s="11">
        <v>1399.98</v>
      </c>
      <c r="O19" s="12" t="str">
        <f t="shared" si="0"/>
        <v>2024-04</v>
      </c>
      <c r="P19" s="12">
        <f t="shared" si="1"/>
        <v>2024</v>
      </c>
      <c r="Q19" s="12">
        <f t="shared" si="2"/>
        <v>1</v>
      </c>
      <c r="R19" s="12" t="str">
        <f t="shared" si="3"/>
        <v>MG</v>
      </c>
      <c r="S19" s="13">
        <f t="shared" ca="1" si="4"/>
        <v>46309.658403472225</v>
      </c>
    </row>
    <row r="20" spans="1:19" ht="14.4" x14ac:dyDescent="0.3">
      <c r="A20" s="9" t="s">
        <v>111</v>
      </c>
      <c r="B20" s="10">
        <v>45410</v>
      </c>
      <c r="C20" s="9" t="s">
        <v>106</v>
      </c>
      <c r="D20" s="9" t="s">
        <v>107</v>
      </c>
      <c r="E20" s="9" t="s">
        <v>81</v>
      </c>
      <c r="F20" s="9" t="s">
        <v>82</v>
      </c>
      <c r="G20" s="9" t="s">
        <v>39</v>
      </c>
      <c r="H20" s="9">
        <v>4</v>
      </c>
      <c r="I20" s="11">
        <v>899.99</v>
      </c>
      <c r="J20" s="9" t="s">
        <v>46</v>
      </c>
      <c r="K20" s="9" t="s">
        <v>70</v>
      </c>
      <c r="L20" s="9" t="s">
        <v>56</v>
      </c>
      <c r="M20" s="10">
        <v>45327</v>
      </c>
      <c r="N20" s="11">
        <v>3599.96</v>
      </c>
      <c r="O20" s="12" t="str">
        <f t="shared" si="0"/>
        <v>2024-04</v>
      </c>
      <c r="P20" s="12">
        <f t="shared" si="1"/>
        <v>2024</v>
      </c>
      <c r="Q20" s="12">
        <f t="shared" si="2"/>
        <v>0</v>
      </c>
      <c r="R20" s="12" t="str">
        <f t="shared" si="3"/>
        <v>MC</v>
      </c>
      <c r="S20" s="13">
        <f t="shared" ca="1" si="4"/>
        <v>46309.658403472225</v>
      </c>
    </row>
    <row r="21" spans="1:19" ht="15.75" customHeight="1" x14ac:dyDescent="0.3">
      <c r="A21" s="9" t="s">
        <v>112</v>
      </c>
      <c r="B21" s="10">
        <v>45410</v>
      </c>
      <c r="C21" s="9" t="s">
        <v>113</v>
      </c>
      <c r="D21" s="9" t="s">
        <v>114</v>
      </c>
      <c r="E21" s="9" t="s">
        <v>37</v>
      </c>
      <c r="F21" s="9" t="s">
        <v>38</v>
      </c>
      <c r="G21" s="9" t="s">
        <v>39</v>
      </c>
      <c r="H21" s="9">
        <v>3</v>
      </c>
      <c r="I21" s="11">
        <v>249.99</v>
      </c>
      <c r="J21" s="9" t="s">
        <v>46</v>
      </c>
      <c r="K21" s="9" t="s">
        <v>60</v>
      </c>
      <c r="L21" s="9" t="s">
        <v>47</v>
      </c>
      <c r="M21" s="10">
        <v>45224</v>
      </c>
      <c r="N21" s="11">
        <v>749.97</v>
      </c>
      <c r="O21" s="12" t="str">
        <f t="shared" si="0"/>
        <v>2024-04</v>
      </c>
      <c r="P21" s="12">
        <f t="shared" si="1"/>
        <v>2024</v>
      </c>
      <c r="Q21" s="12">
        <f t="shared" si="2"/>
        <v>0</v>
      </c>
      <c r="R21" s="12" t="str">
        <f t="shared" si="3"/>
        <v>VS</v>
      </c>
      <c r="S21" s="13">
        <f t="shared" ca="1" si="4"/>
        <v>46309.658403472225</v>
      </c>
    </row>
    <row r="22" spans="1:19" ht="15.75" customHeight="1" x14ac:dyDescent="0.3">
      <c r="A22" s="9" t="s">
        <v>115</v>
      </c>
      <c r="B22" s="10">
        <v>45412</v>
      </c>
      <c r="C22" s="9" t="s">
        <v>116</v>
      </c>
      <c r="D22" s="9" t="s">
        <v>117</v>
      </c>
      <c r="E22" s="9" t="s">
        <v>100</v>
      </c>
      <c r="F22" s="9" t="s">
        <v>101</v>
      </c>
      <c r="G22" s="9" t="s">
        <v>39</v>
      </c>
      <c r="H22" s="9">
        <v>5</v>
      </c>
      <c r="I22" s="11">
        <v>699.99</v>
      </c>
      <c r="J22" s="9" t="s">
        <v>40</v>
      </c>
      <c r="K22" s="9" t="s">
        <v>70</v>
      </c>
      <c r="L22" s="9" t="s">
        <v>42</v>
      </c>
      <c r="M22" s="10">
        <v>45167</v>
      </c>
      <c r="N22" s="11">
        <v>3499.95</v>
      </c>
      <c r="O22" s="12" t="str">
        <f t="shared" si="0"/>
        <v>2024-04</v>
      </c>
      <c r="P22" s="12">
        <f t="shared" si="1"/>
        <v>2024</v>
      </c>
      <c r="Q22" s="12">
        <f t="shared" si="2"/>
        <v>0</v>
      </c>
      <c r="R22" s="12" t="str">
        <f t="shared" si="3"/>
        <v>BY</v>
      </c>
      <c r="S22" s="13">
        <f t="shared" ca="1" si="4"/>
        <v>46309.658403472225</v>
      </c>
    </row>
    <row r="23" spans="1:19" ht="15.75" customHeight="1" x14ac:dyDescent="0.3">
      <c r="A23" s="9" t="s">
        <v>118</v>
      </c>
      <c r="B23" s="10">
        <v>45413</v>
      </c>
      <c r="C23" s="9" t="s">
        <v>119</v>
      </c>
      <c r="D23" s="9" t="s">
        <v>120</v>
      </c>
      <c r="E23" s="9" t="s">
        <v>100</v>
      </c>
      <c r="F23" s="9" t="s">
        <v>101</v>
      </c>
      <c r="G23" s="9" t="s">
        <v>39</v>
      </c>
      <c r="H23" s="9">
        <v>4</v>
      </c>
      <c r="I23" s="11">
        <v>699.99</v>
      </c>
      <c r="J23" s="9" t="s">
        <v>40</v>
      </c>
      <c r="K23" s="9" t="s">
        <v>83</v>
      </c>
      <c r="L23" s="9" t="s">
        <v>56</v>
      </c>
      <c r="M23" s="10">
        <v>44409</v>
      </c>
      <c r="N23" s="11">
        <v>2799.96</v>
      </c>
      <c r="O23" s="12" t="str">
        <f t="shared" si="0"/>
        <v>2024-05</v>
      </c>
      <c r="P23" s="12">
        <f t="shared" si="1"/>
        <v>2024</v>
      </c>
      <c r="Q23" s="12">
        <f t="shared" si="2"/>
        <v>2</v>
      </c>
      <c r="R23" s="12" t="str">
        <f t="shared" si="3"/>
        <v>PM</v>
      </c>
      <c r="S23" s="13">
        <f t="shared" ca="1" si="4"/>
        <v>46309.658403472225</v>
      </c>
    </row>
    <row r="24" spans="1:19" ht="15.75" customHeight="1" x14ac:dyDescent="0.3">
      <c r="A24" s="9" t="s">
        <v>121</v>
      </c>
      <c r="B24" s="10">
        <v>45415</v>
      </c>
      <c r="C24" s="9" t="s">
        <v>122</v>
      </c>
      <c r="D24" s="9" t="s">
        <v>123</v>
      </c>
      <c r="E24" s="9" t="s">
        <v>37</v>
      </c>
      <c r="F24" s="9" t="s">
        <v>38</v>
      </c>
      <c r="G24" s="9" t="s">
        <v>39</v>
      </c>
      <c r="H24" s="9">
        <v>4</v>
      </c>
      <c r="I24" s="11">
        <v>249.99</v>
      </c>
      <c r="J24" s="9" t="s">
        <v>54</v>
      </c>
      <c r="K24" s="9" t="s">
        <v>60</v>
      </c>
      <c r="L24" s="9" t="s">
        <v>56</v>
      </c>
      <c r="M24" s="10">
        <v>44468</v>
      </c>
      <c r="N24" s="11">
        <v>999.96</v>
      </c>
      <c r="O24" s="12" t="str">
        <f t="shared" si="0"/>
        <v>2024-05</v>
      </c>
      <c r="P24" s="12">
        <f t="shared" si="1"/>
        <v>2024</v>
      </c>
      <c r="Q24" s="12">
        <f t="shared" si="2"/>
        <v>2</v>
      </c>
      <c r="R24" s="12" t="str">
        <f t="shared" si="3"/>
        <v>CP</v>
      </c>
      <c r="S24" s="13">
        <f t="shared" ca="1" si="4"/>
        <v>46309.658403472225</v>
      </c>
    </row>
    <row r="25" spans="1:19" ht="15.75" customHeight="1" x14ac:dyDescent="0.3">
      <c r="A25" s="9" t="s">
        <v>124</v>
      </c>
      <c r="B25" s="10">
        <v>45416</v>
      </c>
      <c r="C25" s="9" t="s">
        <v>106</v>
      </c>
      <c r="D25" s="9" t="s">
        <v>107</v>
      </c>
      <c r="E25" s="9" t="s">
        <v>125</v>
      </c>
      <c r="F25" s="9" t="s">
        <v>126</v>
      </c>
      <c r="G25" s="9" t="s">
        <v>66</v>
      </c>
      <c r="H25" s="9">
        <v>4</v>
      </c>
      <c r="I25" s="11">
        <v>299.99</v>
      </c>
      <c r="J25" s="9" t="s">
        <v>40</v>
      </c>
      <c r="K25" s="9" t="s">
        <v>70</v>
      </c>
      <c r="L25" s="9" t="s">
        <v>47</v>
      </c>
      <c r="M25" s="10">
        <v>44716</v>
      </c>
      <c r="N25" s="11">
        <v>1199.96</v>
      </c>
      <c r="O25" s="12" t="str">
        <f t="shared" si="0"/>
        <v>2024-05</v>
      </c>
      <c r="P25" s="12">
        <f t="shared" si="1"/>
        <v>2024</v>
      </c>
      <c r="Q25" s="12">
        <f t="shared" si="2"/>
        <v>1</v>
      </c>
      <c r="R25" s="12" t="str">
        <f t="shared" si="3"/>
        <v>MC</v>
      </c>
      <c r="S25" s="13">
        <f t="shared" ca="1" si="4"/>
        <v>46309.658403472225</v>
      </c>
    </row>
    <row r="26" spans="1:19" ht="15.75" customHeight="1" x14ac:dyDescent="0.3">
      <c r="A26" s="9" t="s">
        <v>127</v>
      </c>
      <c r="B26" s="10">
        <v>45422</v>
      </c>
      <c r="C26" s="9" t="s">
        <v>128</v>
      </c>
      <c r="D26" s="9" t="s">
        <v>129</v>
      </c>
      <c r="E26" s="9" t="s">
        <v>37</v>
      </c>
      <c r="F26" s="9" t="s">
        <v>38</v>
      </c>
      <c r="G26" s="9" t="s">
        <v>39</v>
      </c>
      <c r="H26" s="9">
        <v>5</v>
      </c>
      <c r="I26" s="11">
        <v>249.99</v>
      </c>
      <c r="J26" s="9" t="s">
        <v>46</v>
      </c>
      <c r="K26" s="9" t="s">
        <v>70</v>
      </c>
      <c r="L26" s="9" t="s">
        <v>56</v>
      </c>
      <c r="M26" s="10">
        <v>44525</v>
      </c>
      <c r="N26" s="11">
        <v>1249.95</v>
      </c>
      <c r="O26" s="12" t="str">
        <f t="shared" si="0"/>
        <v>2024-05</v>
      </c>
      <c r="P26" s="12">
        <f t="shared" si="1"/>
        <v>2024</v>
      </c>
      <c r="Q26" s="12">
        <f t="shared" si="2"/>
        <v>2</v>
      </c>
      <c r="R26" s="12" t="str">
        <f t="shared" si="3"/>
        <v>NC</v>
      </c>
      <c r="S26" s="13">
        <f t="shared" ca="1" si="4"/>
        <v>46309.658403472225</v>
      </c>
    </row>
    <row r="27" spans="1:19" ht="15.75" customHeight="1" x14ac:dyDescent="0.3">
      <c r="A27" s="9" t="s">
        <v>130</v>
      </c>
      <c r="B27" s="10">
        <v>45424</v>
      </c>
      <c r="C27" s="9" t="s">
        <v>88</v>
      </c>
      <c r="D27" s="9" t="s">
        <v>89</v>
      </c>
      <c r="E27" s="9" t="s">
        <v>125</v>
      </c>
      <c r="F27" s="9" t="s">
        <v>126</v>
      </c>
      <c r="G27" s="9" t="s">
        <v>66</v>
      </c>
      <c r="H27" s="9">
        <v>5</v>
      </c>
      <c r="I27" s="11">
        <v>299.99</v>
      </c>
      <c r="J27" s="9" t="s">
        <v>54</v>
      </c>
      <c r="K27" s="9" t="s">
        <v>83</v>
      </c>
      <c r="L27" s="9" t="s">
        <v>42</v>
      </c>
      <c r="M27" s="10">
        <v>45168</v>
      </c>
      <c r="N27" s="11">
        <v>1499.95</v>
      </c>
      <c r="O27" s="12" t="str">
        <f t="shared" si="0"/>
        <v>2024-05</v>
      </c>
      <c r="P27" s="12">
        <f t="shared" si="1"/>
        <v>2024</v>
      </c>
      <c r="Q27" s="12">
        <f t="shared" si="2"/>
        <v>0</v>
      </c>
      <c r="R27" s="12" t="str">
        <f t="shared" si="3"/>
        <v>SG</v>
      </c>
      <c r="S27" s="13">
        <f t="shared" ca="1" si="4"/>
        <v>46309.658403472225</v>
      </c>
    </row>
    <row r="28" spans="1:19" ht="15.75" customHeight="1" x14ac:dyDescent="0.3">
      <c r="A28" s="9" t="s">
        <v>131</v>
      </c>
      <c r="B28" s="10">
        <v>45424</v>
      </c>
      <c r="C28" s="9" t="s">
        <v>132</v>
      </c>
      <c r="D28" s="9" t="s">
        <v>133</v>
      </c>
      <c r="E28" s="9" t="s">
        <v>134</v>
      </c>
      <c r="F28" s="9" t="s">
        <v>135</v>
      </c>
      <c r="G28" s="9" t="s">
        <v>53</v>
      </c>
      <c r="H28" s="9">
        <v>3</v>
      </c>
      <c r="I28" s="11">
        <v>79.989999999999995</v>
      </c>
      <c r="J28" s="9" t="s">
        <v>54</v>
      </c>
      <c r="K28" s="9" t="s">
        <v>83</v>
      </c>
      <c r="L28" s="9" t="s">
        <v>47</v>
      </c>
      <c r="M28" s="10">
        <v>45012</v>
      </c>
      <c r="N28" s="11">
        <v>239.97</v>
      </c>
      <c r="O28" s="12" t="str">
        <f t="shared" si="0"/>
        <v>2024-05</v>
      </c>
      <c r="P28" s="12">
        <f t="shared" si="1"/>
        <v>2024</v>
      </c>
      <c r="Q28" s="12">
        <f t="shared" si="2"/>
        <v>1</v>
      </c>
      <c r="R28" s="12" t="str">
        <f t="shared" si="3"/>
        <v>LM</v>
      </c>
      <c r="S28" s="13">
        <f t="shared" ca="1" si="4"/>
        <v>46309.658403472225</v>
      </c>
    </row>
    <row r="29" spans="1:19" ht="15.75" customHeight="1" x14ac:dyDescent="0.3">
      <c r="A29" s="9" t="s">
        <v>136</v>
      </c>
      <c r="B29" s="10">
        <v>45424</v>
      </c>
      <c r="C29" s="9" t="s">
        <v>119</v>
      </c>
      <c r="D29" s="9" t="s">
        <v>120</v>
      </c>
      <c r="E29" s="9" t="s">
        <v>137</v>
      </c>
      <c r="F29" s="9" t="s">
        <v>138</v>
      </c>
      <c r="G29" s="9" t="s">
        <v>39</v>
      </c>
      <c r="H29" s="9">
        <v>5</v>
      </c>
      <c r="I29" s="11">
        <v>89.99</v>
      </c>
      <c r="J29" s="9" t="s">
        <v>40</v>
      </c>
      <c r="K29" s="9" t="s">
        <v>60</v>
      </c>
      <c r="L29" s="9" t="s">
        <v>47</v>
      </c>
      <c r="M29" s="10">
        <v>44919</v>
      </c>
      <c r="N29" s="11">
        <v>449.95</v>
      </c>
      <c r="O29" s="12" t="str">
        <f t="shared" si="0"/>
        <v>2024-05</v>
      </c>
      <c r="P29" s="12">
        <f t="shared" si="1"/>
        <v>2024</v>
      </c>
      <c r="Q29" s="12">
        <f t="shared" si="2"/>
        <v>1</v>
      </c>
      <c r="R29" s="12" t="str">
        <f t="shared" si="3"/>
        <v>PM</v>
      </c>
      <c r="S29" s="13">
        <f t="shared" ca="1" si="4"/>
        <v>46309.658403472225</v>
      </c>
    </row>
    <row r="30" spans="1:19" ht="15.75" customHeight="1" x14ac:dyDescent="0.3">
      <c r="A30" s="9" t="s">
        <v>139</v>
      </c>
      <c r="B30" s="10">
        <v>45425</v>
      </c>
      <c r="C30" s="9" t="s">
        <v>140</v>
      </c>
      <c r="D30" s="9" t="s">
        <v>141</v>
      </c>
      <c r="E30" s="9" t="s">
        <v>51</v>
      </c>
      <c r="F30" s="9" t="s">
        <v>52</v>
      </c>
      <c r="G30" s="9" t="s">
        <v>53</v>
      </c>
      <c r="H30" s="9">
        <v>2</v>
      </c>
      <c r="I30" s="11">
        <v>59.99</v>
      </c>
      <c r="J30" s="9" t="s">
        <v>77</v>
      </c>
      <c r="K30" s="9" t="s">
        <v>41</v>
      </c>
      <c r="L30" s="9" t="s">
        <v>56</v>
      </c>
      <c r="M30" s="10">
        <v>45214</v>
      </c>
      <c r="N30" s="11">
        <v>119.98</v>
      </c>
      <c r="O30" s="12" t="str">
        <f t="shared" si="0"/>
        <v>2024-05</v>
      </c>
      <c r="P30" s="12">
        <f t="shared" si="1"/>
        <v>2024</v>
      </c>
      <c r="Q30" s="12">
        <f t="shared" si="2"/>
        <v>0</v>
      </c>
      <c r="R30" s="12" t="str">
        <f t="shared" si="3"/>
        <v>HR</v>
      </c>
      <c r="S30" s="13">
        <f t="shared" ca="1" si="4"/>
        <v>46309.658403472225</v>
      </c>
    </row>
    <row r="31" spans="1:19" ht="15.75" customHeight="1" x14ac:dyDescent="0.3">
      <c r="A31" s="9" t="s">
        <v>142</v>
      </c>
      <c r="B31" s="10">
        <v>45427</v>
      </c>
      <c r="C31" s="9" t="s">
        <v>143</v>
      </c>
      <c r="D31" s="9" t="s">
        <v>144</v>
      </c>
      <c r="E31" s="9" t="s">
        <v>51</v>
      </c>
      <c r="F31" s="9" t="s">
        <v>52</v>
      </c>
      <c r="G31" s="9" t="s">
        <v>53</v>
      </c>
      <c r="H31" s="9">
        <v>4</v>
      </c>
      <c r="I31" s="11">
        <v>59.99</v>
      </c>
      <c r="J31" s="9" t="s">
        <v>77</v>
      </c>
      <c r="K31" s="9" t="s">
        <v>83</v>
      </c>
      <c r="L31" s="9" t="s">
        <v>56</v>
      </c>
      <c r="M31" s="10">
        <v>44867</v>
      </c>
      <c r="N31" s="11">
        <v>239.96</v>
      </c>
      <c r="O31" s="12" t="str">
        <f t="shared" si="0"/>
        <v>2024-05</v>
      </c>
      <c r="P31" s="12">
        <f t="shared" si="1"/>
        <v>2024</v>
      </c>
      <c r="Q31" s="12">
        <f t="shared" si="2"/>
        <v>1</v>
      </c>
      <c r="R31" s="12" t="str">
        <f t="shared" si="3"/>
        <v>EM</v>
      </c>
      <c r="S31" s="13">
        <f t="shared" ca="1" si="4"/>
        <v>46309.658403472225</v>
      </c>
    </row>
    <row r="32" spans="1:19" ht="15.75" customHeight="1" x14ac:dyDescent="0.3">
      <c r="A32" s="9" t="s">
        <v>145</v>
      </c>
      <c r="B32" s="10">
        <v>45427</v>
      </c>
      <c r="C32" s="9" t="s">
        <v>75</v>
      </c>
      <c r="D32" s="9" t="s">
        <v>76</v>
      </c>
      <c r="E32" s="9" t="s">
        <v>146</v>
      </c>
      <c r="F32" s="9" t="s">
        <v>147</v>
      </c>
      <c r="G32" s="9" t="s">
        <v>66</v>
      </c>
      <c r="H32" s="9">
        <v>5</v>
      </c>
      <c r="I32" s="11">
        <v>199.99</v>
      </c>
      <c r="J32" s="9" t="s">
        <v>40</v>
      </c>
      <c r="K32" s="9" t="s">
        <v>55</v>
      </c>
      <c r="L32" s="9" t="s">
        <v>56</v>
      </c>
      <c r="M32" s="10">
        <v>44412</v>
      </c>
      <c r="N32" s="11">
        <v>999.95</v>
      </c>
      <c r="O32" s="12" t="str">
        <f t="shared" si="0"/>
        <v>2024-05</v>
      </c>
      <c r="P32" s="12">
        <f t="shared" si="1"/>
        <v>2024</v>
      </c>
      <c r="Q32" s="12">
        <f t="shared" si="2"/>
        <v>2</v>
      </c>
      <c r="R32" s="12" t="str">
        <f t="shared" si="3"/>
        <v>CA</v>
      </c>
      <c r="S32" s="13">
        <f t="shared" ca="1" si="4"/>
        <v>46309.658403472225</v>
      </c>
    </row>
    <row r="33" spans="1:19" ht="15.75" customHeight="1" x14ac:dyDescent="0.3">
      <c r="A33" s="9" t="s">
        <v>148</v>
      </c>
      <c r="B33" s="10">
        <v>45428</v>
      </c>
      <c r="C33" s="9" t="s">
        <v>149</v>
      </c>
      <c r="D33" s="9" t="s">
        <v>150</v>
      </c>
      <c r="E33" s="9" t="s">
        <v>64</v>
      </c>
      <c r="F33" s="9" t="s">
        <v>65</v>
      </c>
      <c r="G33" s="9" t="s">
        <v>66</v>
      </c>
      <c r="H33" s="9">
        <v>2</v>
      </c>
      <c r="I33" s="11">
        <v>149.99</v>
      </c>
      <c r="J33" s="9" t="s">
        <v>46</v>
      </c>
      <c r="K33" s="9" t="s">
        <v>70</v>
      </c>
      <c r="L33" s="9" t="s">
        <v>42</v>
      </c>
      <c r="M33" s="10">
        <v>44823</v>
      </c>
      <c r="N33" s="11">
        <v>299.98</v>
      </c>
      <c r="O33" s="12" t="str">
        <f t="shared" si="0"/>
        <v>2024-05</v>
      </c>
      <c r="P33" s="12">
        <f t="shared" si="1"/>
        <v>2024</v>
      </c>
      <c r="Q33" s="12">
        <f t="shared" si="2"/>
        <v>1</v>
      </c>
      <c r="R33" s="12" t="str">
        <f t="shared" si="3"/>
        <v>LA</v>
      </c>
      <c r="S33" s="13">
        <f t="shared" ca="1" si="4"/>
        <v>46309.658403472225</v>
      </c>
    </row>
    <row r="34" spans="1:19" ht="15.75" customHeight="1" x14ac:dyDescent="0.3">
      <c r="A34" s="9" t="s">
        <v>151</v>
      </c>
      <c r="B34" s="10">
        <v>45430</v>
      </c>
      <c r="C34" s="9" t="s">
        <v>152</v>
      </c>
      <c r="D34" s="9" t="s">
        <v>153</v>
      </c>
      <c r="E34" s="9" t="s">
        <v>64</v>
      </c>
      <c r="F34" s="9" t="s">
        <v>65</v>
      </c>
      <c r="G34" s="9" t="s">
        <v>66</v>
      </c>
      <c r="H34" s="9">
        <v>3</v>
      </c>
      <c r="I34" s="11">
        <v>149.99</v>
      </c>
      <c r="J34" s="9" t="s">
        <v>46</v>
      </c>
      <c r="K34" s="9" t="s">
        <v>70</v>
      </c>
      <c r="L34" s="9" t="s">
        <v>47</v>
      </c>
      <c r="M34" s="10">
        <v>45068</v>
      </c>
      <c r="N34" s="11">
        <v>449.97</v>
      </c>
      <c r="O34" s="12" t="str">
        <f t="shared" si="0"/>
        <v>2024-05</v>
      </c>
      <c r="P34" s="12">
        <f t="shared" si="1"/>
        <v>2024</v>
      </c>
      <c r="Q34" s="12">
        <f t="shared" si="2"/>
        <v>0</v>
      </c>
      <c r="R34" s="12" t="str">
        <f t="shared" si="3"/>
        <v>EW</v>
      </c>
      <c r="S34" s="13">
        <f t="shared" ca="1" si="4"/>
        <v>46309.658403472225</v>
      </c>
    </row>
    <row r="35" spans="1:19" ht="15.75" customHeight="1" x14ac:dyDescent="0.3">
      <c r="A35" s="9" t="s">
        <v>154</v>
      </c>
      <c r="B35" s="10">
        <v>45432</v>
      </c>
      <c r="C35" s="9" t="s">
        <v>49</v>
      </c>
      <c r="D35" s="9" t="s">
        <v>50</v>
      </c>
      <c r="E35" s="9" t="s">
        <v>81</v>
      </c>
      <c r="F35" s="9" t="s">
        <v>82</v>
      </c>
      <c r="G35" s="9" t="s">
        <v>39</v>
      </c>
      <c r="H35" s="9">
        <v>1</v>
      </c>
      <c r="I35" s="11">
        <v>899.99</v>
      </c>
      <c r="J35" s="9" t="s">
        <v>46</v>
      </c>
      <c r="K35" s="9" t="s">
        <v>70</v>
      </c>
      <c r="L35" s="9" t="s">
        <v>47</v>
      </c>
      <c r="M35" s="10">
        <v>44578</v>
      </c>
      <c r="N35" s="11">
        <v>899.99</v>
      </c>
      <c r="O35" s="12" t="str">
        <f t="shared" si="0"/>
        <v>2024-05</v>
      </c>
      <c r="P35" s="12">
        <f t="shared" si="1"/>
        <v>2024</v>
      </c>
      <c r="Q35" s="12">
        <f t="shared" si="2"/>
        <v>2</v>
      </c>
      <c r="R35" s="12" t="str">
        <f t="shared" si="3"/>
        <v>KS</v>
      </c>
      <c r="S35" s="13">
        <f t="shared" ca="1" si="4"/>
        <v>46309.658403472225</v>
      </c>
    </row>
    <row r="36" spans="1:19" ht="15.75" customHeight="1" x14ac:dyDescent="0.3">
      <c r="A36" s="9" t="s">
        <v>155</v>
      </c>
      <c r="B36" s="10">
        <v>45434</v>
      </c>
      <c r="C36" s="9" t="s">
        <v>119</v>
      </c>
      <c r="D36" s="9" t="s">
        <v>120</v>
      </c>
      <c r="E36" s="9" t="s">
        <v>125</v>
      </c>
      <c r="F36" s="9" t="s">
        <v>126</v>
      </c>
      <c r="G36" s="9" t="s">
        <v>66</v>
      </c>
      <c r="H36" s="9">
        <v>3</v>
      </c>
      <c r="I36" s="11">
        <v>299.99</v>
      </c>
      <c r="J36" s="9" t="s">
        <v>46</v>
      </c>
      <c r="K36" s="9" t="s">
        <v>83</v>
      </c>
      <c r="L36" s="9" t="s">
        <v>42</v>
      </c>
      <c r="M36" s="10">
        <v>44824</v>
      </c>
      <c r="N36" s="11">
        <v>899.97</v>
      </c>
      <c r="O36" s="12" t="str">
        <f t="shared" si="0"/>
        <v>2024-05</v>
      </c>
      <c r="P36" s="12">
        <f t="shared" si="1"/>
        <v>2024</v>
      </c>
      <c r="Q36" s="12">
        <f t="shared" si="2"/>
        <v>1</v>
      </c>
      <c r="R36" s="12" t="str">
        <f t="shared" si="3"/>
        <v>PM</v>
      </c>
      <c r="S36" s="13">
        <f t="shared" ca="1" si="4"/>
        <v>46309.658403472225</v>
      </c>
    </row>
    <row r="37" spans="1:19" ht="15.75" customHeight="1" x14ac:dyDescent="0.3">
      <c r="A37" s="9" t="s">
        <v>156</v>
      </c>
      <c r="B37" s="10">
        <v>45435</v>
      </c>
      <c r="C37" s="9" t="s">
        <v>149</v>
      </c>
      <c r="D37" s="9" t="s">
        <v>150</v>
      </c>
      <c r="E37" s="9" t="s">
        <v>134</v>
      </c>
      <c r="F37" s="9" t="s">
        <v>135</v>
      </c>
      <c r="G37" s="9" t="s">
        <v>53</v>
      </c>
      <c r="H37" s="9">
        <v>3</v>
      </c>
      <c r="I37" s="11">
        <v>79.989999999999995</v>
      </c>
      <c r="J37" s="9" t="s">
        <v>40</v>
      </c>
      <c r="K37" s="9" t="s">
        <v>55</v>
      </c>
      <c r="L37" s="9" t="s">
        <v>42</v>
      </c>
      <c r="M37" s="10">
        <v>45046</v>
      </c>
      <c r="N37" s="11">
        <v>239.97</v>
      </c>
      <c r="O37" s="12" t="str">
        <f t="shared" si="0"/>
        <v>2024-05</v>
      </c>
      <c r="P37" s="12">
        <f t="shared" si="1"/>
        <v>2024</v>
      </c>
      <c r="Q37" s="12">
        <f t="shared" si="2"/>
        <v>1</v>
      </c>
      <c r="R37" s="12" t="str">
        <f t="shared" si="3"/>
        <v>LA</v>
      </c>
      <c r="S37" s="13">
        <f t="shared" ca="1" si="4"/>
        <v>46309.658403472225</v>
      </c>
    </row>
    <row r="38" spans="1:19" ht="15.75" customHeight="1" x14ac:dyDescent="0.3">
      <c r="A38" s="9" t="s">
        <v>157</v>
      </c>
      <c r="B38" s="10">
        <v>45438</v>
      </c>
      <c r="C38" s="9" t="s">
        <v>158</v>
      </c>
      <c r="D38" s="9" t="s">
        <v>159</v>
      </c>
      <c r="E38" s="9" t="s">
        <v>146</v>
      </c>
      <c r="F38" s="9" t="s">
        <v>147</v>
      </c>
      <c r="G38" s="9" t="s">
        <v>66</v>
      </c>
      <c r="H38" s="9">
        <v>3</v>
      </c>
      <c r="I38" s="11">
        <v>199.99</v>
      </c>
      <c r="J38" s="9" t="s">
        <v>46</v>
      </c>
      <c r="K38" s="9" t="s">
        <v>60</v>
      </c>
      <c r="L38" s="9" t="s">
        <v>47</v>
      </c>
      <c r="M38" s="10">
        <v>45292</v>
      </c>
      <c r="N38" s="11">
        <v>599.97</v>
      </c>
      <c r="O38" s="12" t="str">
        <f t="shared" si="0"/>
        <v>2024-05</v>
      </c>
      <c r="P38" s="12">
        <f t="shared" si="1"/>
        <v>2024</v>
      </c>
      <c r="Q38" s="12">
        <f t="shared" si="2"/>
        <v>0</v>
      </c>
      <c r="R38" s="12" t="str">
        <f t="shared" si="3"/>
        <v>ST</v>
      </c>
      <c r="S38" s="13">
        <f t="shared" ca="1" si="4"/>
        <v>46309.658403472225</v>
      </c>
    </row>
    <row r="39" spans="1:19" ht="15.75" customHeight="1" x14ac:dyDescent="0.3">
      <c r="A39" s="9" t="s">
        <v>160</v>
      </c>
      <c r="B39" s="10">
        <v>45440</v>
      </c>
      <c r="C39" s="9" t="s">
        <v>161</v>
      </c>
      <c r="D39" s="9" t="s">
        <v>162</v>
      </c>
      <c r="E39" s="9" t="s">
        <v>100</v>
      </c>
      <c r="F39" s="9" t="s">
        <v>101</v>
      </c>
      <c r="G39" s="9" t="s">
        <v>39</v>
      </c>
      <c r="H39" s="9">
        <v>5</v>
      </c>
      <c r="I39" s="11">
        <v>699.99</v>
      </c>
      <c r="J39" s="9" t="s">
        <v>54</v>
      </c>
      <c r="K39" s="9" t="s">
        <v>70</v>
      </c>
      <c r="L39" s="9" t="s">
        <v>56</v>
      </c>
      <c r="M39" s="10">
        <v>44407</v>
      </c>
      <c r="N39" s="11">
        <v>3499.95</v>
      </c>
      <c r="O39" s="12" t="str">
        <f t="shared" si="0"/>
        <v>2024-05</v>
      </c>
      <c r="P39" s="12">
        <f t="shared" si="1"/>
        <v>2024</v>
      </c>
      <c r="Q39" s="12">
        <f t="shared" si="2"/>
        <v>2</v>
      </c>
      <c r="R39" s="12" t="str">
        <f t="shared" si="3"/>
        <v>JT</v>
      </c>
      <c r="S39" s="13">
        <f t="shared" ca="1" si="4"/>
        <v>46309.658403472225</v>
      </c>
    </row>
    <row r="40" spans="1:19" ht="15.75" customHeight="1" x14ac:dyDescent="0.3">
      <c r="A40" s="9" t="s">
        <v>163</v>
      </c>
      <c r="B40" s="10">
        <v>45441</v>
      </c>
      <c r="C40" s="9" t="s">
        <v>164</v>
      </c>
      <c r="D40" s="9" t="s">
        <v>165</v>
      </c>
      <c r="E40" s="9" t="s">
        <v>137</v>
      </c>
      <c r="F40" s="9" t="s">
        <v>138</v>
      </c>
      <c r="G40" s="9" t="s">
        <v>39</v>
      </c>
      <c r="H40" s="9">
        <v>3</v>
      </c>
      <c r="I40" s="11">
        <v>89.99</v>
      </c>
      <c r="J40" s="9" t="s">
        <v>54</v>
      </c>
      <c r="K40" s="9" t="s">
        <v>41</v>
      </c>
      <c r="L40" s="9" t="s">
        <v>47</v>
      </c>
      <c r="M40" s="10">
        <v>45120</v>
      </c>
      <c r="N40" s="11">
        <v>269.97000000000003</v>
      </c>
      <c r="O40" s="12" t="str">
        <f t="shared" si="0"/>
        <v>2024-05</v>
      </c>
      <c r="P40" s="12">
        <f t="shared" si="1"/>
        <v>2024</v>
      </c>
      <c r="Q40" s="12">
        <f t="shared" si="2"/>
        <v>0</v>
      </c>
      <c r="R40" s="12" t="str">
        <f t="shared" si="3"/>
        <v>HM</v>
      </c>
      <c r="S40" s="13">
        <f t="shared" ca="1" si="4"/>
        <v>46309.658403472225</v>
      </c>
    </row>
    <row r="41" spans="1:19" ht="15.75" customHeight="1" x14ac:dyDescent="0.3">
      <c r="A41" s="9" t="s">
        <v>166</v>
      </c>
      <c r="B41" s="10">
        <v>45443</v>
      </c>
      <c r="C41" s="9" t="s">
        <v>167</v>
      </c>
      <c r="D41" s="9" t="s">
        <v>168</v>
      </c>
      <c r="E41" s="9" t="s">
        <v>134</v>
      </c>
      <c r="F41" s="9" t="s">
        <v>135</v>
      </c>
      <c r="G41" s="9" t="s">
        <v>53</v>
      </c>
      <c r="H41" s="9">
        <v>1</v>
      </c>
      <c r="I41" s="11">
        <v>79.989999999999995</v>
      </c>
      <c r="J41" s="9" t="s">
        <v>40</v>
      </c>
      <c r="K41" s="9" t="s">
        <v>60</v>
      </c>
      <c r="L41" s="9" t="s">
        <v>56</v>
      </c>
      <c r="M41" s="10">
        <v>44917</v>
      </c>
      <c r="N41" s="11">
        <v>79.989999999999995</v>
      </c>
      <c r="O41" s="12" t="str">
        <f t="shared" si="0"/>
        <v>2024-05</v>
      </c>
      <c r="P41" s="12">
        <f t="shared" si="1"/>
        <v>2024</v>
      </c>
      <c r="Q41" s="12">
        <f t="shared" si="2"/>
        <v>1</v>
      </c>
      <c r="R41" s="12" t="str">
        <f t="shared" si="3"/>
        <v>DK</v>
      </c>
      <c r="S41" s="13">
        <f t="shared" ca="1" si="4"/>
        <v>46309.658403472225</v>
      </c>
    </row>
    <row r="42" spans="1:19" ht="15.75" customHeight="1" x14ac:dyDescent="0.3">
      <c r="A42" s="9" t="s">
        <v>169</v>
      </c>
      <c r="B42" s="10">
        <v>45444</v>
      </c>
      <c r="C42" s="9" t="s">
        <v>170</v>
      </c>
      <c r="D42" s="9" t="s">
        <v>171</v>
      </c>
      <c r="E42" s="9" t="s">
        <v>51</v>
      </c>
      <c r="F42" s="9" t="s">
        <v>52</v>
      </c>
      <c r="G42" s="9" t="s">
        <v>53</v>
      </c>
      <c r="H42" s="9">
        <v>2</v>
      </c>
      <c r="I42" s="11">
        <v>59.99</v>
      </c>
      <c r="J42" s="9" t="s">
        <v>40</v>
      </c>
      <c r="K42" s="9" t="s">
        <v>70</v>
      </c>
      <c r="L42" s="9" t="s">
        <v>42</v>
      </c>
      <c r="M42" s="10">
        <v>45390</v>
      </c>
      <c r="N42" s="11">
        <v>119.98</v>
      </c>
      <c r="O42" s="12" t="str">
        <f t="shared" si="0"/>
        <v>2024-06</v>
      </c>
      <c r="P42" s="12">
        <f t="shared" si="1"/>
        <v>2024</v>
      </c>
      <c r="Q42" s="12">
        <f t="shared" si="2"/>
        <v>0</v>
      </c>
      <c r="R42" s="12" t="str">
        <f t="shared" si="3"/>
        <v>SB</v>
      </c>
      <c r="S42" s="13">
        <f t="shared" ca="1" si="4"/>
        <v>46309.658403472225</v>
      </c>
    </row>
    <row r="43" spans="1:19" ht="15.75" customHeight="1" x14ac:dyDescent="0.3">
      <c r="A43" s="9" t="s">
        <v>172</v>
      </c>
      <c r="B43" s="10">
        <v>45444</v>
      </c>
      <c r="C43" s="9" t="s">
        <v>75</v>
      </c>
      <c r="D43" s="9" t="s">
        <v>76</v>
      </c>
      <c r="E43" s="9" t="s">
        <v>137</v>
      </c>
      <c r="F43" s="9" t="s">
        <v>138</v>
      </c>
      <c r="G43" s="9" t="s">
        <v>39</v>
      </c>
      <c r="H43" s="9">
        <v>1</v>
      </c>
      <c r="I43" s="11">
        <v>89.99</v>
      </c>
      <c r="J43" s="9" t="s">
        <v>40</v>
      </c>
      <c r="K43" s="9" t="s">
        <v>60</v>
      </c>
      <c r="L43" s="9" t="s">
        <v>42</v>
      </c>
      <c r="M43" s="10">
        <v>45141</v>
      </c>
      <c r="N43" s="11">
        <v>89.99</v>
      </c>
      <c r="O43" s="12" t="str">
        <f t="shared" si="0"/>
        <v>2024-06</v>
      </c>
      <c r="P43" s="12">
        <f t="shared" si="1"/>
        <v>2024</v>
      </c>
      <c r="Q43" s="12">
        <f t="shared" si="2"/>
        <v>0</v>
      </c>
      <c r="R43" s="12" t="str">
        <f t="shared" si="3"/>
        <v>CA</v>
      </c>
      <c r="S43" s="13">
        <f t="shared" ca="1" si="4"/>
        <v>46309.658403472225</v>
      </c>
    </row>
    <row r="44" spans="1:19" ht="15.75" customHeight="1" x14ac:dyDescent="0.3">
      <c r="A44" s="9" t="s">
        <v>173</v>
      </c>
      <c r="B44" s="10">
        <v>45446</v>
      </c>
      <c r="C44" s="9" t="s">
        <v>174</v>
      </c>
      <c r="D44" s="9" t="s">
        <v>175</v>
      </c>
      <c r="E44" s="9" t="s">
        <v>137</v>
      </c>
      <c r="F44" s="9" t="s">
        <v>138</v>
      </c>
      <c r="G44" s="9" t="s">
        <v>39</v>
      </c>
      <c r="H44" s="9">
        <v>5</v>
      </c>
      <c r="I44" s="11">
        <v>89.99</v>
      </c>
      <c r="J44" s="9" t="s">
        <v>46</v>
      </c>
      <c r="K44" s="9" t="s">
        <v>83</v>
      </c>
      <c r="L44" s="9" t="s">
        <v>56</v>
      </c>
      <c r="M44" s="10">
        <v>44587</v>
      </c>
      <c r="N44" s="11">
        <v>449.95</v>
      </c>
      <c r="O44" s="12" t="str">
        <f t="shared" si="0"/>
        <v>2024-06</v>
      </c>
      <c r="P44" s="12">
        <f t="shared" si="1"/>
        <v>2024</v>
      </c>
      <c r="Q44" s="12">
        <f t="shared" si="2"/>
        <v>2</v>
      </c>
      <c r="R44" s="12" t="str">
        <f t="shared" si="3"/>
        <v>SD</v>
      </c>
      <c r="S44" s="13">
        <f t="shared" ca="1" si="4"/>
        <v>46309.658403472225</v>
      </c>
    </row>
    <row r="45" spans="1:19" ht="15.75" customHeight="1" x14ac:dyDescent="0.3">
      <c r="A45" s="9" t="s">
        <v>176</v>
      </c>
      <c r="B45" s="10">
        <v>45449</v>
      </c>
      <c r="C45" s="9" t="s">
        <v>44</v>
      </c>
      <c r="D45" s="9" t="s">
        <v>45</v>
      </c>
      <c r="E45" s="9" t="s">
        <v>37</v>
      </c>
      <c r="F45" s="9" t="s">
        <v>38</v>
      </c>
      <c r="G45" s="9" t="s">
        <v>39</v>
      </c>
      <c r="H45" s="9">
        <v>5</v>
      </c>
      <c r="I45" s="11">
        <v>249.99</v>
      </c>
      <c r="J45" s="9" t="s">
        <v>46</v>
      </c>
      <c r="K45" s="9" t="s">
        <v>83</v>
      </c>
      <c r="L45" s="9" t="s">
        <v>56</v>
      </c>
      <c r="M45" s="10">
        <v>44707</v>
      </c>
      <c r="N45" s="11">
        <v>1249.95</v>
      </c>
      <c r="O45" s="12" t="str">
        <f t="shared" si="0"/>
        <v>2024-06</v>
      </c>
      <c r="P45" s="12">
        <f t="shared" si="1"/>
        <v>2024</v>
      </c>
      <c r="Q45" s="12">
        <f t="shared" si="2"/>
        <v>2</v>
      </c>
      <c r="R45" s="12" t="str">
        <f t="shared" si="3"/>
        <v>JJ</v>
      </c>
      <c r="S45" s="13">
        <f t="shared" ca="1" si="4"/>
        <v>46309.658403472225</v>
      </c>
    </row>
    <row r="46" spans="1:19" ht="15.75" customHeight="1" x14ac:dyDescent="0.3">
      <c r="A46" s="9" t="s">
        <v>177</v>
      </c>
      <c r="B46" s="10">
        <v>45449</v>
      </c>
      <c r="C46" s="9" t="s">
        <v>178</v>
      </c>
      <c r="D46" s="9" t="s">
        <v>179</v>
      </c>
      <c r="E46" s="9" t="s">
        <v>137</v>
      </c>
      <c r="F46" s="9" t="s">
        <v>138</v>
      </c>
      <c r="G46" s="9" t="s">
        <v>39</v>
      </c>
      <c r="H46" s="9">
        <v>1</v>
      </c>
      <c r="I46" s="11">
        <v>89.99</v>
      </c>
      <c r="J46" s="9" t="s">
        <v>46</v>
      </c>
      <c r="K46" s="9" t="s">
        <v>55</v>
      </c>
      <c r="L46" s="9" t="s">
        <v>56</v>
      </c>
      <c r="M46" s="10">
        <v>44582</v>
      </c>
      <c r="N46" s="11">
        <v>89.99</v>
      </c>
      <c r="O46" s="12" t="str">
        <f t="shared" si="0"/>
        <v>2024-06</v>
      </c>
      <c r="P46" s="12">
        <f t="shared" si="1"/>
        <v>2024</v>
      </c>
      <c r="Q46" s="12">
        <f t="shared" si="2"/>
        <v>2</v>
      </c>
      <c r="R46" s="12" t="str">
        <f t="shared" si="3"/>
        <v>BC</v>
      </c>
      <c r="S46" s="13">
        <f t="shared" ca="1" si="4"/>
        <v>46309.658403472225</v>
      </c>
    </row>
    <row r="47" spans="1:19" ht="15.75" customHeight="1" x14ac:dyDescent="0.3">
      <c r="A47" s="9" t="s">
        <v>180</v>
      </c>
      <c r="B47" s="10">
        <v>45450</v>
      </c>
      <c r="C47" s="9" t="s">
        <v>62</v>
      </c>
      <c r="D47" s="9" t="s">
        <v>63</v>
      </c>
      <c r="E47" s="9" t="s">
        <v>64</v>
      </c>
      <c r="F47" s="9" t="s">
        <v>65</v>
      </c>
      <c r="G47" s="9" t="s">
        <v>66</v>
      </c>
      <c r="H47" s="9">
        <v>2</v>
      </c>
      <c r="I47" s="11">
        <v>149.99</v>
      </c>
      <c r="J47" s="9" t="s">
        <v>40</v>
      </c>
      <c r="K47" s="9" t="s">
        <v>83</v>
      </c>
      <c r="L47" s="9" t="s">
        <v>47</v>
      </c>
      <c r="M47" s="10">
        <v>44645</v>
      </c>
      <c r="N47" s="11">
        <v>299.98</v>
      </c>
      <c r="O47" s="12" t="str">
        <f t="shared" si="0"/>
        <v>2024-06</v>
      </c>
      <c r="P47" s="12">
        <f t="shared" si="1"/>
        <v>2024</v>
      </c>
      <c r="Q47" s="12">
        <f t="shared" si="2"/>
        <v>2</v>
      </c>
      <c r="R47" s="12" t="str">
        <f t="shared" si="3"/>
        <v>MB</v>
      </c>
      <c r="S47" s="13">
        <f t="shared" ca="1" si="4"/>
        <v>46309.658403472225</v>
      </c>
    </row>
    <row r="48" spans="1:19" ht="15.75" customHeight="1" x14ac:dyDescent="0.3">
      <c r="A48" s="9" t="s">
        <v>181</v>
      </c>
      <c r="B48" s="10">
        <v>45452</v>
      </c>
      <c r="C48" s="9" t="s">
        <v>182</v>
      </c>
      <c r="D48" s="9" t="s">
        <v>183</v>
      </c>
      <c r="E48" s="9" t="s">
        <v>51</v>
      </c>
      <c r="F48" s="9" t="s">
        <v>52</v>
      </c>
      <c r="G48" s="9" t="s">
        <v>53</v>
      </c>
      <c r="H48" s="9">
        <v>4</v>
      </c>
      <c r="I48" s="11">
        <v>59.99</v>
      </c>
      <c r="J48" s="9" t="s">
        <v>40</v>
      </c>
      <c r="K48" s="9" t="s">
        <v>83</v>
      </c>
      <c r="L48" s="9" t="s">
        <v>56</v>
      </c>
      <c r="M48" s="10">
        <v>44435</v>
      </c>
      <c r="N48" s="11">
        <v>239.96</v>
      </c>
      <c r="O48" s="12" t="str">
        <f t="shared" si="0"/>
        <v>2024-06</v>
      </c>
      <c r="P48" s="12">
        <f t="shared" si="1"/>
        <v>2024</v>
      </c>
      <c r="Q48" s="12">
        <f t="shared" si="2"/>
        <v>2</v>
      </c>
      <c r="R48" s="12" t="str">
        <f t="shared" si="3"/>
        <v>JF</v>
      </c>
      <c r="S48" s="13">
        <f t="shared" ca="1" si="4"/>
        <v>46309.658403472225</v>
      </c>
    </row>
    <row r="49" spans="1:19" ht="15.75" customHeight="1" x14ac:dyDescent="0.3">
      <c r="A49" s="9" t="s">
        <v>184</v>
      </c>
      <c r="B49" s="10">
        <v>45456</v>
      </c>
      <c r="C49" s="9" t="s">
        <v>149</v>
      </c>
      <c r="D49" s="9" t="s">
        <v>150</v>
      </c>
      <c r="E49" s="9" t="s">
        <v>137</v>
      </c>
      <c r="F49" s="9" t="s">
        <v>138</v>
      </c>
      <c r="G49" s="9" t="s">
        <v>39</v>
      </c>
      <c r="H49" s="9">
        <v>5</v>
      </c>
      <c r="I49" s="11">
        <v>89.99</v>
      </c>
      <c r="J49" s="9" t="s">
        <v>40</v>
      </c>
      <c r="K49" s="9" t="s">
        <v>41</v>
      </c>
      <c r="L49" s="9" t="s">
        <v>47</v>
      </c>
      <c r="M49" s="10">
        <v>44579</v>
      </c>
      <c r="N49" s="11">
        <v>449.95</v>
      </c>
      <c r="O49" s="12" t="str">
        <f t="shared" si="0"/>
        <v>2024-06</v>
      </c>
      <c r="P49" s="12">
        <f t="shared" si="1"/>
        <v>2024</v>
      </c>
      <c r="Q49" s="12">
        <f t="shared" si="2"/>
        <v>2</v>
      </c>
      <c r="R49" s="12" t="str">
        <f t="shared" si="3"/>
        <v>LA</v>
      </c>
      <c r="S49" s="13">
        <f t="shared" ca="1" si="4"/>
        <v>46309.658403472225</v>
      </c>
    </row>
    <row r="50" spans="1:19" ht="15.75" customHeight="1" x14ac:dyDescent="0.3">
      <c r="A50" s="9" t="s">
        <v>185</v>
      </c>
      <c r="B50" s="10">
        <v>45459</v>
      </c>
      <c r="C50" s="9" t="s">
        <v>119</v>
      </c>
      <c r="D50" s="9" t="s">
        <v>120</v>
      </c>
      <c r="E50" s="9" t="s">
        <v>137</v>
      </c>
      <c r="F50" s="9" t="s">
        <v>138</v>
      </c>
      <c r="G50" s="9" t="s">
        <v>39</v>
      </c>
      <c r="H50" s="9">
        <v>2</v>
      </c>
      <c r="I50" s="11">
        <v>89.99</v>
      </c>
      <c r="J50" s="9" t="s">
        <v>46</v>
      </c>
      <c r="K50" s="9" t="s">
        <v>55</v>
      </c>
      <c r="L50" s="9" t="s">
        <v>47</v>
      </c>
      <c r="M50" s="10">
        <v>44471</v>
      </c>
      <c r="N50" s="11">
        <v>179.98</v>
      </c>
      <c r="O50" s="12" t="str">
        <f t="shared" si="0"/>
        <v>2024-06</v>
      </c>
      <c r="P50" s="12">
        <f t="shared" si="1"/>
        <v>2024</v>
      </c>
      <c r="Q50" s="12">
        <f t="shared" si="2"/>
        <v>2</v>
      </c>
      <c r="R50" s="12" t="str">
        <f t="shared" si="3"/>
        <v>PM</v>
      </c>
      <c r="S50" s="13">
        <f t="shared" ca="1" si="4"/>
        <v>46309.658403472225</v>
      </c>
    </row>
    <row r="51" spans="1:19" ht="15.75" customHeight="1" x14ac:dyDescent="0.3">
      <c r="A51" s="9" t="s">
        <v>186</v>
      </c>
      <c r="B51" s="10">
        <v>45459</v>
      </c>
      <c r="C51" s="9" t="s">
        <v>35</v>
      </c>
      <c r="D51" s="9" t="s">
        <v>36</v>
      </c>
      <c r="E51" s="9" t="s">
        <v>81</v>
      </c>
      <c r="F51" s="9" t="s">
        <v>82</v>
      </c>
      <c r="G51" s="9" t="s">
        <v>39</v>
      </c>
      <c r="H51" s="9">
        <v>5</v>
      </c>
      <c r="I51" s="11">
        <v>899.99</v>
      </c>
      <c r="J51" s="9" t="s">
        <v>46</v>
      </c>
      <c r="K51" s="9" t="s">
        <v>55</v>
      </c>
      <c r="L51" s="9" t="s">
        <v>56</v>
      </c>
      <c r="M51" s="10">
        <v>44974</v>
      </c>
      <c r="N51" s="11">
        <v>4499.95</v>
      </c>
      <c r="O51" s="12" t="str">
        <f t="shared" si="0"/>
        <v>2024-06</v>
      </c>
      <c r="P51" s="12">
        <f t="shared" si="1"/>
        <v>2024</v>
      </c>
      <c r="Q51" s="12">
        <f t="shared" si="2"/>
        <v>1</v>
      </c>
      <c r="R51" s="12" t="str">
        <f t="shared" si="3"/>
        <v>PB</v>
      </c>
      <c r="S51" s="13">
        <f t="shared" ca="1" si="4"/>
        <v>46309.658403472225</v>
      </c>
    </row>
    <row r="52" spans="1:19" ht="15.75" customHeight="1" x14ac:dyDescent="0.3">
      <c r="A52" s="9" t="s">
        <v>187</v>
      </c>
      <c r="B52" s="10">
        <v>45459</v>
      </c>
      <c r="C52" s="9" t="s">
        <v>143</v>
      </c>
      <c r="D52" s="9" t="s">
        <v>144</v>
      </c>
      <c r="E52" s="9" t="s">
        <v>81</v>
      </c>
      <c r="F52" s="9" t="s">
        <v>82</v>
      </c>
      <c r="G52" s="9" t="s">
        <v>39</v>
      </c>
      <c r="H52" s="9">
        <v>5</v>
      </c>
      <c r="I52" s="11">
        <v>899.99</v>
      </c>
      <c r="J52" s="9" t="s">
        <v>54</v>
      </c>
      <c r="K52" s="9" t="s">
        <v>83</v>
      </c>
      <c r="L52" s="9" t="s">
        <v>47</v>
      </c>
      <c r="M52" s="10">
        <v>45278</v>
      </c>
      <c r="N52" s="11">
        <v>4499.95</v>
      </c>
      <c r="O52" s="12" t="str">
        <f t="shared" si="0"/>
        <v>2024-06</v>
      </c>
      <c r="P52" s="12">
        <f t="shared" si="1"/>
        <v>2024</v>
      </c>
      <c r="Q52" s="12">
        <f t="shared" si="2"/>
        <v>0</v>
      </c>
      <c r="R52" s="12" t="str">
        <f t="shared" si="3"/>
        <v>EM</v>
      </c>
      <c r="S52" s="13">
        <f t="shared" ca="1" si="4"/>
        <v>46309.658403472225</v>
      </c>
    </row>
    <row r="53" spans="1:19" ht="15.75" customHeight="1" x14ac:dyDescent="0.3">
      <c r="A53" s="9" t="s">
        <v>188</v>
      </c>
      <c r="B53" s="10">
        <v>45460</v>
      </c>
      <c r="C53" s="9" t="s">
        <v>178</v>
      </c>
      <c r="D53" s="9" t="s">
        <v>179</v>
      </c>
      <c r="E53" s="9" t="s">
        <v>51</v>
      </c>
      <c r="F53" s="9" t="s">
        <v>52</v>
      </c>
      <c r="G53" s="9" t="s">
        <v>53</v>
      </c>
      <c r="H53" s="9">
        <v>1</v>
      </c>
      <c r="I53" s="11">
        <v>59.99</v>
      </c>
      <c r="J53" s="9" t="s">
        <v>77</v>
      </c>
      <c r="K53" s="9" t="s">
        <v>70</v>
      </c>
      <c r="L53" s="9" t="s">
        <v>47</v>
      </c>
      <c r="M53" s="10">
        <v>45190</v>
      </c>
      <c r="N53" s="11">
        <v>59.99</v>
      </c>
      <c r="O53" s="12" t="str">
        <f t="shared" si="0"/>
        <v>2024-06</v>
      </c>
      <c r="P53" s="12">
        <f t="shared" si="1"/>
        <v>2024</v>
      </c>
      <c r="Q53" s="12">
        <f t="shared" si="2"/>
        <v>0</v>
      </c>
      <c r="R53" s="12" t="str">
        <f t="shared" si="3"/>
        <v>BC</v>
      </c>
      <c r="S53" s="13">
        <f t="shared" ca="1" si="4"/>
        <v>46309.658403472225</v>
      </c>
    </row>
    <row r="54" spans="1:19" ht="15.75" customHeight="1" x14ac:dyDescent="0.3">
      <c r="A54" s="9" t="s">
        <v>189</v>
      </c>
      <c r="B54" s="10">
        <v>45460</v>
      </c>
      <c r="C54" s="9" t="s">
        <v>161</v>
      </c>
      <c r="D54" s="9" t="s">
        <v>162</v>
      </c>
      <c r="E54" s="9" t="s">
        <v>125</v>
      </c>
      <c r="F54" s="9" t="s">
        <v>126</v>
      </c>
      <c r="G54" s="9" t="s">
        <v>66</v>
      </c>
      <c r="H54" s="9">
        <v>2</v>
      </c>
      <c r="I54" s="11">
        <v>299.99</v>
      </c>
      <c r="J54" s="9" t="s">
        <v>77</v>
      </c>
      <c r="K54" s="9" t="s">
        <v>83</v>
      </c>
      <c r="L54" s="9" t="s">
        <v>56</v>
      </c>
      <c r="M54" s="10">
        <v>45253</v>
      </c>
      <c r="N54" s="11">
        <v>599.98</v>
      </c>
      <c r="O54" s="12" t="str">
        <f t="shared" si="0"/>
        <v>2024-06</v>
      </c>
      <c r="P54" s="12">
        <f t="shared" si="1"/>
        <v>2024</v>
      </c>
      <c r="Q54" s="12">
        <f t="shared" si="2"/>
        <v>0</v>
      </c>
      <c r="R54" s="12" t="str">
        <f t="shared" si="3"/>
        <v>JT</v>
      </c>
      <c r="S54" s="13">
        <f t="shared" ca="1" si="4"/>
        <v>46309.658403472225</v>
      </c>
    </row>
    <row r="55" spans="1:19" ht="15.75" customHeight="1" x14ac:dyDescent="0.3">
      <c r="A55" s="9" t="s">
        <v>190</v>
      </c>
      <c r="B55" s="10">
        <v>45468</v>
      </c>
      <c r="C55" s="9" t="s">
        <v>191</v>
      </c>
      <c r="D55" s="9" t="s">
        <v>192</v>
      </c>
      <c r="E55" s="9" t="s">
        <v>137</v>
      </c>
      <c r="F55" s="9" t="s">
        <v>138</v>
      </c>
      <c r="G55" s="9" t="s">
        <v>39</v>
      </c>
      <c r="H55" s="9">
        <v>4</v>
      </c>
      <c r="I55" s="11">
        <v>89.99</v>
      </c>
      <c r="J55" s="9" t="s">
        <v>77</v>
      </c>
      <c r="K55" s="9" t="s">
        <v>55</v>
      </c>
      <c r="L55" s="9" t="s">
        <v>42</v>
      </c>
      <c r="M55" s="10">
        <v>45281</v>
      </c>
      <c r="N55" s="11">
        <v>359.96</v>
      </c>
      <c r="O55" s="12" t="str">
        <f t="shared" si="0"/>
        <v>2024-06</v>
      </c>
      <c r="P55" s="12">
        <f t="shared" si="1"/>
        <v>2024</v>
      </c>
      <c r="Q55" s="12">
        <f t="shared" si="2"/>
        <v>0</v>
      </c>
      <c r="R55" s="12" t="str">
        <f t="shared" si="3"/>
        <v>RR</v>
      </c>
      <c r="S55" s="13">
        <f t="shared" ca="1" si="4"/>
        <v>46309.658403472225</v>
      </c>
    </row>
    <row r="56" spans="1:19" ht="15.75" customHeight="1" x14ac:dyDescent="0.3">
      <c r="A56" s="9" t="s">
        <v>193</v>
      </c>
      <c r="B56" s="10">
        <v>45469</v>
      </c>
      <c r="C56" s="9" t="s">
        <v>49</v>
      </c>
      <c r="D56" s="9" t="s">
        <v>50</v>
      </c>
      <c r="E56" s="9" t="s">
        <v>134</v>
      </c>
      <c r="F56" s="9" t="s">
        <v>135</v>
      </c>
      <c r="G56" s="9" t="s">
        <v>53</v>
      </c>
      <c r="H56" s="9">
        <v>1</v>
      </c>
      <c r="I56" s="11">
        <v>79.989999999999995</v>
      </c>
      <c r="J56" s="9" t="s">
        <v>54</v>
      </c>
      <c r="K56" s="9" t="s">
        <v>41</v>
      </c>
      <c r="L56" s="9" t="s">
        <v>47</v>
      </c>
      <c r="M56" s="10">
        <v>45352</v>
      </c>
      <c r="N56" s="11">
        <v>79.989999999999995</v>
      </c>
      <c r="O56" s="12" t="str">
        <f t="shared" si="0"/>
        <v>2024-06</v>
      </c>
      <c r="P56" s="12">
        <f t="shared" si="1"/>
        <v>2024</v>
      </c>
      <c r="Q56" s="12">
        <f t="shared" si="2"/>
        <v>0</v>
      </c>
      <c r="R56" s="12" t="str">
        <f t="shared" si="3"/>
        <v>KS</v>
      </c>
      <c r="S56" s="13">
        <f t="shared" ca="1" si="4"/>
        <v>46309.658403472225</v>
      </c>
    </row>
    <row r="57" spans="1:19" ht="15.75" customHeight="1" x14ac:dyDescent="0.3">
      <c r="A57" s="9" t="s">
        <v>194</v>
      </c>
      <c r="B57" s="10">
        <v>45469</v>
      </c>
      <c r="C57" s="9" t="s">
        <v>79</v>
      </c>
      <c r="D57" s="9" t="s">
        <v>80</v>
      </c>
      <c r="E57" s="9" t="s">
        <v>137</v>
      </c>
      <c r="F57" s="9" t="s">
        <v>138</v>
      </c>
      <c r="G57" s="9" t="s">
        <v>39</v>
      </c>
      <c r="H57" s="9">
        <v>2</v>
      </c>
      <c r="I57" s="11">
        <v>89.99</v>
      </c>
      <c r="J57" s="9" t="s">
        <v>40</v>
      </c>
      <c r="K57" s="9" t="s">
        <v>70</v>
      </c>
      <c r="L57" s="9" t="s">
        <v>42</v>
      </c>
      <c r="M57" s="10">
        <v>44438</v>
      </c>
      <c r="N57" s="11">
        <v>179.98</v>
      </c>
      <c r="O57" s="12" t="str">
        <f t="shared" si="0"/>
        <v>2024-06</v>
      </c>
      <c r="P57" s="12">
        <f t="shared" si="1"/>
        <v>2024</v>
      </c>
      <c r="Q57" s="12">
        <f t="shared" si="2"/>
        <v>2</v>
      </c>
      <c r="R57" s="12" t="str">
        <f t="shared" si="3"/>
        <v>RT</v>
      </c>
      <c r="S57" s="13">
        <f t="shared" ca="1" si="4"/>
        <v>46309.658403472225</v>
      </c>
    </row>
    <row r="58" spans="1:19" ht="15.75" customHeight="1" x14ac:dyDescent="0.3">
      <c r="A58" s="9" t="s">
        <v>195</v>
      </c>
      <c r="B58" s="10">
        <v>45471</v>
      </c>
      <c r="C58" s="9" t="s">
        <v>58</v>
      </c>
      <c r="D58" s="9" t="s">
        <v>59</v>
      </c>
      <c r="E58" s="9" t="s">
        <v>100</v>
      </c>
      <c r="F58" s="9" t="s">
        <v>101</v>
      </c>
      <c r="G58" s="9" t="s">
        <v>39</v>
      </c>
      <c r="H58" s="9">
        <v>3</v>
      </c>
      <c r="I58" s="11">
        <v>699.99</v>
      </c>
      <c r="J58" s="9" t="s">
        <v>46</v>
      </c>
      <c r="K58" s="9" t="s">
        <v>83</v>
      </c>
      <c r="L58" s="9" t="s">
        <v>47</v>
      </c>
      <c r="M58" s="10">
        <v>45102</v>
      </c>
      <c r="N58" s="11">
        <v>2099.9699999999998</v>
      </c>
      <c r="O58" s="12" t="str">
        <f t="shared" si="0"/>
        <v>2024-06</v>
      </c>
      <c r="P58" s="12">
        <f t="shared" si="1"/>
        <v>2024</v>
      </c>
      <c r="Q58" s="12">
        <f t="shared" si="2"/>
        <v>1</v>
      </c>
      <c r="R58" s="12" t="str">
        <f t="shared" si="3"/>
        <v>KB</v>
      </c>
      <c r="S58" s="13">
        <f t="shared" ca="1" si="4"/>
        <v>46309.658403472225</v>
      </c>
    </row>
    <row r="59" spans="1:19" ht="15.75" customHeight="1" x14ac:dyDescent="0.3">
      <c r="A59" s="9" t="s">
        <v>196</v>
      </c>
      <c r="B59" s="10">
        <v>45471</v>
      </c>
      <c r="C59" s="9" t="s">
        <v>119</v>
      </c>
      <c r="D59" s="9" t="s">
        <v>120</v>
      </c>
      <c r="E59" s="9" t="s">
        <v>81</v>
      </c>
      <c r="F59" s="9" t="s">
        <v>82</v>
      </c>
      <c r="G59" s="9" t="s">
        <v>39</v>
      </c>
      <c r="H59" s="9">
        <v>4</v>
      </c>
      <c r="I59" s="11">
        <v>899.99</v>
      </c>
      <c r="J59" s="9" t="s">
        <v>46</v>
      </c>
      <c r="K59" s="9" t="s">
        <v>83</v>
      </c>
      <c r="L59" s="9" t="s">
        <v>47</v>
      </c>
      <c r="M59" s="10">
        <v>44993</v>
      </c>
      <c r="N59" s="11">
        <v>3599.96</v>
      </c>
      <c r="O59" s="12" t="str">
        <f t="shared" si="0"/>
        <v>2024-06</v>
      </c>
      <c r="P59" s="12">
        <f t="shared" si="1"/>
        <v>2024</v>
      </c>
      <c r="Q59" s="12">
        <f t="shared" si="2"/>
        <v>1</v>
      </c>
      <c r="R59" s="12" t="str">
        <f t="shared" si="3"/>
        <v>PM</v>
      </c>
      <c r="S59" s="13">
        <f t="shared" ca="1" si="4"/>
        <v>46309.658403472225</v>
      </c>
    </row>
    <row r="60" spans="1:19" ht="15.75" customHeight="1" x14ac:dyDescent="0.3">
      <c r="A60" s="9" t="s">
        <v>197</v>
      </c>
      <c r="B60" s="10">
        <v>45472</v>
      </c>
      <c r="C60" s="9" t="s">
        <v>140</v>
      </c>
      <c r="D60" s="9" t="s">
        <v>141</v>
      </c>
      <c r="E60" s="9" t="s">
        <v>64</v>
      </c>
      <c r="F60" s="9" t="s">
        <v>65</v>
      </c>
      <c r="G60" s="9" t="s">
        <v>66</v>
      </c>
      <c r="H60" s="9">
        <v>1</v>
      </c>
      <c r="I60" s="11">
        <v>149.99</v>
      </c>
      <c r="J60" s="9" t="s">
        <v>54</v>
      </c>
      <c r="K60" s="9" t="s">
        <v>83</v>
      </c>
      <c r="L60" s="9" t="s">
        <v>42</v>
      </c>
      <c r="M60" s="10">
        <v>44851</v>
      </c>
      <c r="N60" s="11">
        <v>149.99</v>
      </c>
      <c r="O60" s="12" t="str">
        <f t="shared" si="0"/>
        <v>2024-06</v>
      </c>
      <c r="P60" s="12">
        <f t="shared" si="1"/>
        <v>2024</v>
      </c>
      <c r="Q60" s="12">
        <f t="shared" si="2"/>
        <v>1</v>
      </c>
      <c r="R60" s="12" t="str">
        <f t="shared" si="3"/>
        <v>HR</v>
      </c>
      <c r="S60" s="13">
        <f t="shared" ca="1" si="4"/>
        <v>46309.658403472225</v>
      </c>
    </row>
    <row r="61" spans="1:19" ht="15.75" customHeight="1" x14ac:dyDescent="0.3">
      <c r="A61" s="9" t="s">
        <v>198</v>
      </c>
      <c r="B61" s="10">
        <v>45474</v>
      </c>
      <c r="C61" s="9" t="s">
        <v>152</v>
      </c>
      <c r="D61" s="9" t="s">
        <v>153</v>
      </c>
      <c r="E61" s="9" t="s">
        <v>137</v>
      </c>
      <c r="F61" s="9" t="s">
        <v>138</v>
      </c>
      <c r="G61" s="9" t="s">
        <v>39</v>
      </c>
      <c r="H61" s="9">
        <v>2</v>
      </c>
      <c r="I61" s="11">
        <v>89.99</v>
      </c>
      <c r="J61" s="9" t="s">
        <v>54</v>
      </c>
      <c r="K61" s="9" t="s">
        <v>41</v>
      </c>
      <c r="L61" s="9" t="s">
        <v>47</v>
      </c>
      <c r="M61" s="10">
        <v>45275</v>
      </c>
      <c r="N61" s="11">
        <v>179.98</v>
      </c>
      <c r="O61" s="12" t="str">
        <f t="shared" si="0"/>
        <v>2024-07</v>
      </c>
      <c r="P61" s="12">
        <f t="shared" si="1"/>
        <v>2024</v>
      </c>
      <c r="Q61" s="12">
        <f t="shared" si="2"/>
        <v>0</v>
      </c>
      <c r="R61" s="12" t="str">
        <f t="shared" si="3"/>
        <v>EW</v>
      </c>
      <c r="S61" s="13">
        <f t="shared" ca="1" si="4"/>
        <v>46309.658403472225</v>
      </c>
    </row>
    <row r="62" spans="1:19" ht="15.75" customHeight="1" x14ac:dyDescent="0.3">
      <c r="A62" s="9" t="s">
        <v>199</v>
      </c>
      <c r="B62" s="10">
        <v>45475</v>
      </c>
      <c r="C62" s="9" t="s">
        <v>75</v>
      </c>
      <c r="D62" s="9" t="s">
        <v>76</v>
      </c>
      <c r="E62" s="9" t="s">
        <v>137</v>
      </c>
      <c r="F62" s="9" t="s">
        <v>138</v>
      </c>
      <c r="G62" s="9" t="s">
        <v>39</v>
      </c>
      <c r="H62" s="9">
        <v>1</v>
      </c>
      <c r="I62" s="11">
        <v>89.99</v>
      </c>
      <c r="J62" s="9" t="s">
        <v>54</v>
      </c>
      <c r="K62" s="9" t="s">
        <v>70</v>
      </c>
      <c r="L62" s="9" t="s">
        <v>56</v>
      </c>
      <c r="M62" s="10">
        <v>44802</v>
      </c>
      <c r="N62" s="11">
        <v>89.99</v>
      </c>
      <c r="O62" s="12" t="str">
        <f t="shared" si="0"/>
        <v>2024-07</v>
      </c>
      <c r="P62" s="12">
        <f t="shared" si="1"/>
        <v>2024</v>
      </c>
      <c r="Q62" s="12">
        <f t="shared" si="2"/>
        <v>1</v>
      </c>
      <c r="R62" s="12" t="str">
        <f t="shared" si="3"/>
        <v>CA</v>
      </c>
      <c r="S62" s="13">
        <f t="shared" ca="1" si="4"/>
        <v>46309.658403472225</v>
      </c>
    </row>
    <row r="63" spans="1:19" ht="15.75" customHeight="1" x14ac:dyDescent="0.3">
      <c r="A63" s="9" t="s">
        <v>200</v>
      </c>
      <c r="B63" s="10">
        <v>45476</v>
      </c>
      <c r="C63" s="9" t="s">
        <v>88</v>
      </c>
      <c r="D63" s="9" t="s">
        <v>89</v>
      </c>
      <c r="E63" s="9" t="s">
        <v>137</v>
      </c>
      <c r="F63" s="9" t="s">
        <v>138</v>
      </c>
      <c r="G63" s="9" t="s">
        <v>39</v>
      </c>
      <c r="H63" s="9">
        <v>1</v>
      </c>
      <c r="I63" s="11">
        <v>89.99</v>
      </c>
      <c r="J63" s="9" t="s">
        <v>40</v>
      </c>
      <c r="K63" s="9" t="s">
        <v>55</v>
      </c>
      <c r="L63" s="9" t="s">
        <v>56</v>
      </c>
      <c r="M63" s="10">
        <v>44611</v>
      </c>
      <c r="N63" s="11">
        <v>89.99</v>
      </c>
      <c r="O63" s="12" t="str">
        <f t="shared" si="0"/>
        <v>2024-07</v>
      </c>
      <c r="P63" s="12">
        <f t="shared" si="1"/>
        <v>2024</v>
      </c>
      <c r="Q63" s="12">
        <f t="shared" si="2"/>
        <v>2</v>
      </c>
      <c r="R63" s="12" t="str">
        <f t="shared" si="3"/>
        <v>SG</v>
      </c>
      <c r="S63" s="13">
        <f t="shared" ca="1" si="4"/>
        <v>46309.658403472225</v>
      </c>
    </row>
    <row r="64" spans="1:19" ht="15.75" customHeight="1" x14ac:dyDescent="0.3">
      <c r="A64" s="9" t="s">
        <v>201</v>
      </c>
      <c r="B64" s="10">
        <v>45476</v>
      </c>
      <c r="C64" s="9" t="s">
        <v>202</v>
      </c>
      <c r="D64" s="9" t="s">
        <v>203</v>
      </c>
      <c r="E64" s="9" t="s">
        <v>134</v>
      </c>
      <c r="F64" s="9" t="s">
        <v>135</v>
      </c>
      <c r="G64" s="9" t="s">
        <v>53</v>
      </c>
      <c r="H64" s="9">
        <v>5</v>
      </c>
      <c r="I64" s="11">
        <v>79.989999999999995</v>
      </c>
      <c r="J64" s="9" t="s">
        <v>77</v>
      </c>
      <c r="K64" s="9" t="s">
        <v>41</v>
      </c>
      <c r="L64" s="9" t="s">
        <v>42</v>
      </c>
      <c r="M64" s="10">
        <v>44981</v>
      </c>
      <c r="N64" s="11">
        <v>399.95</v>
      </c>
      <c r="O64" s="12" t="str">
        <f t="shared" si="0"/>
        <v>2024-07</v>
      </c>
      <c r="P64" s="12">
        <f t="shared" si="1"/>
        <v>2024</v>
      </c>
      <c r="Q64" s="12">
        <f t="shared" si="2"/>
        <v>1</v>
      </c>
      <c r="R64" s="12" t="str">
        <f t="shared" si="3"/>
        <v>DM</v>
      </c>
      <c r="S64" s="13">
        <f t="shared" ca="1" si="4"/>
        <v>46309.658403472225</v>
      </c>
    </row>
    <row r="65" spans="1:19" ht="15.75" customHeight="1" x14ac:dyDescent="0.3">
      <c r="A65" s="9" t="s">
        <v>204</v>
      </c>
      <c r="B65" s="10">
        <v>45481</v>
      </c>
      <c r="C65" s="9" t="s">
        <v>205</v>
      </c>
      <c r="D65" s="9" t="s">
        <v>206</v>
      </c>
      <c r="E65" s="9" t="s">
        <v>64</v>
      </c>
      <c r="F65" s="9" t="s">
        <v>65</v>
      </c>
      <c r="G65" s="9" t="s">
        <v>66</v>
      </c>
      <c r="H65" s="9">
        <v>1</v>
      </c>
      <c r="I65" s="11">
        <v>149.99</v>
      </c>
      <c r="J65" s="9" t="s">
        <v>54</v>
      </c>
      <c r="K65" s="9" t="s">
        <v>60</v>
      </c>
      <c r="L65" s="9" t="s">
        <v>42</v>
      </c>
      <c r="M65" s="10">
        <v>44421</v>
      </c>
      <c r="N65" s="11">
        <v>149.99</v>
      </c>
      <c r="O65" s="12" t="str">
        <f t="shared" si="0"/>
        <v>2024-07</v>
      </c>
      <c r="P65" s="12">
        <f t="shared" si="1"/>
        <v>2024</v>
      </c>
      <c r="Q65" s="12">
        <f t="shared" si="2"/>
        <v>2</v>
      </c>
      <c r="R65" s="12" t="str">
        <f t="shared" si="3"/>
        <v>MW</v>
      </c>
      <c r="S65" s="13">
        <f t="shared" ca="1" si="4"/>
        <v>46309.658403472225</v>
      </c>
    </row>
    <row r="66" spans="1:19" ht="15.75" customHeight="1" x14ac:dyDescent="0.3">
      <c r="A66" s="9" t="s">
        <v>207</v>
      </c>
      <c r="B66" s="10">
        <v>45481</v>
      </c>
      <c r="C66" s="9" t="s">
        <v>62</v>
      </c>
      <c r="D66" s="9" t="s">
        <v>63</v>
      </c>
      <c r="E66" s="9" t="s">
        <v>100</v>
      </c>
      <c r="F66" s="9" t="s">
        <v>101</v>
      </c>
      <c r="G66" s="9" t="s">
        <v>39</v>
      </c>
      <c r="H66" s="9">
        <v>2</v>
      </c>
      <c r="I66" s="11">
        <v>699.99</v>
      </c>
      <c r="J66" s="9" t="s">
        <v>54</v>
      </c>
      <c r="K66" s="9" t="s">
        <v>83</v>
      </c>
      <c r="L66" s="9" t="s">
        <v>47</v>
      </c>
      <c r="M66" s="10">
        <v>45389</v>
      </c>
      <c r="N66" s="11">
        <v>1399.98</v>
      </c>
      <c r="O66" s="12" t="str">
        <f t="shared" ref="O66:O129" si="5">TEXT(B66,"yyyy-mm")</f>
        <v>2024-07</v>
      </c>
      <c r="P66" s="12">
        <f t="shared" ref="P66:P129" si="6">YEAR(B66)</f>
        <v>2024</v>
      </c>
      <c r="Q66" s="12">
        <f t="shared" ref="Q66:Q129" si="7">DATEDIF(M66,B66,"Y")</f>
        <v>0</v>
      </c>
      <c r="R66" s="12" t="str">
        <f t="shared" ref="R66:R129" si="8">UPPER(LEFT(D66,1)&amp;MID(D66,FIND(" ",D66)+1,1))</f>
        <v>MB</v>
      </c>
      <c r="S66" s="13">
        <f t="shared" ref="S66:S129" ca="1" si="9">NOW()</f>
        <v>46309.658403472225</v>
      </c>
    </row>
    <row r="67" spans="1:19" ht="15.75" customHeight="1" x14ac:dyDescent="0.3">
      <c r="A67" s="9" t="s">
        <v>208</v>
      </c>
      <c r="B67" s="10">
        <v>45481</v>
      </c>
      <c r="C67" s="9" t="s">
        <v>116</v>
      </c>
      <c r="D67" s="9" t="s">
        <v>117</v>
      </c>
      <c r="E67" s="9" t="s">
        <v>137</v>
      </c>
      <c r="F67" s="9" t="s">
        <v>138</v>
      </c>
      <c r="G67" s="9" t="s">
        <v>39</v>
      </c>
      <c r="H67" s="9">
        <v>5</v>
      </c>
      <c r="I67" s="11">
        <v>89.99</v>
      </c>
      <c r="J67" s="9" t="s">
        <v>77</v>
      </c>
      <c r="K67" s="9" t="s">
        <v>60</v>
      </c>
      <c r="L67" s="9" t="s">
        <v>47</v>
      </c>
      <c r="M67" s="10">
        <v>45161</v>
      </c>
      <c r="N67" s="11">
        <v>449.95</v>
      </c>
      <c r="O67" s="12" t="str">
        <f t="shared" si="5"/>
        <v>2024-07</v>
      </c>
      <c r="P67" s="12">
        <f t="shared" si="6"/>
        <v>2024</v>
      </c>
      <c r="Q67" s="12">
        <f t="shared" si="7"/>
        <v>0</v>
      </c>
      <c r="R67" s="12" t="str">
        <f t="shared" si="8"/>
        <v>BY</v>
      </c>
      <c r="S67" s="13">
        <f t="shared" ca="1" si="9"/>
        <v>46309.658403472225</v>
      </c>
    </row>
    <row r="68" spans="1:19" ht="15.75" customHeight="1" x14ac:dyDescent="0.3">
      <c r="A68" s="9" t="s">
        <v>209</v>
      </c>
      <c r="B68" s="10">
        <v>45482</v>
      </c>
      <c r="C68" s="9" t="s">
        <v>191</v>
      </c>
      <c r="D68" s="9" t="s">
        <v>192</v>
      </c>
      <c r="E68" s="9" t="s">
        <v>51</v>
      </c>
      <c r="F68" s="9" t="s">
        <v>52</v>
      </c>
      <c r="G68" s="9" t="s">
        <v>53</v>
      </c>
      <c r="H68" s="9">
        <v>4</v>
      </c>
      <c r="I68" s="11">
        <v>59.99</v>
      </c>
      <c r="J68" s="9" t="s">
        <v>40</v>
      </c>
      <c r="K68" s="9" t="s">
        <v>55</v>
      </c>
      <c r="L68" s="9" t="s">
        <v>56</v>
      </c>
      <c r="M68" s="10">
        <v>44509</v>
      </c>
      <c r="N68" s="11">
        <v>239.96</v>
      </c>
      <c r="O68" s="12" t="str">
        <f t="shared" si="5"/>
        <v>2024-07</v>
      </c>
      <c r="P68" s="12">
        <f t="shared" si="6"/>
        <v>2024</v>
      </c>
      <c r="Q68" s="12">
        <f t="shared" si="7"/>
        <v>2</v>
      </c>
      <c r="R68" s="12" t="str">
        <f t="shared" si="8"/>
        <v>RR</v>
      </c>
      <c r="S68" s="13">
        <f t="shared" ca="1" si="9"/>
        <v>46309.658403472225</v>
      </c>
    </row>
    <row r="69" spans="1:19" ht="15.75" customHeight="1" x14ac:dyDescent="0.3">
      <c r="A69" s="9" t="s">
        <v>210</v>
      </c>
      <c r="B69" s="10">
        <v>45484</v>
      </c>
      <c r="C69" s="9" t="s">
        <v>44</v>
      </c>
      <c r="D69" s="9" t="s">
        <v>45</v>
      </c>
      <c r="E69" s="9" t="s">
        <v>72</v>
      </c>
      <c r="F69" s="9" t="s">
        <v>73</v>
      </c>
      <c r="G69" s="9" t="s">
        <v>39</v>
      </c>
      <c r="H69" s="9">
        <v>1</v>
      </c>
      <c r="I69" s="11">
        <v>149.99</v>
      </c>
      <c r="J69" s="9" t="s">
        <v>40</v>
      </c>
      <c r="K69" s="9" t="s">
        <v>41</v>
      </c>
      <c r="L69" s="9" t="s">
        <v>56</v>
      </c>
      <c r="M69" s="10">
        <v>44909</v>
      </c>
      <c r="N69" s="11">
        <v>149.99</v>
      </c>
      <c r="O69" s="12" t="str">
        <f t="shared" si="5"/>
        <v>2024-07</v>
      </c>
      <c r="P69" s="12">
        <f t="shared" si="6"/>
        <v>2024</v>
      </c>
      <c r="Q69" s="12">
        <f t="shared" si="7"/>
        <v>1</v>
      </c>
      <c r="R69" s="12" t="str">
        <f t="shared" si="8"/>
        <v>JJ</v>
      </c>
      <c r="S69" s="13">
        <f t="shared" ca="1" si="9"/>
        <v>46309.658403472225</v>
      </c>
    </row>
    <row r="70" spans="1:19" ht="15.75" customHeight="1" x14ac:dyDescent="0.3">
      <c r="A70" s="9" t="s">
        <v>211</v>
      </c>
      <c r="B70" s="10">
        <v>45484</v>
      </c>
      <c r="C70" s="9" t="s">
        <v>212</v>
      </c>
      <c r="D70" s="9" t="s">
        <v>213</v>
      </c>
      <c r="E70" s="9" t="s">
        <v>125</v>
      </c>
      <c r="F70" s="9" t="s">
        <v>126</v>
      </c>
      <c r="G70" s="9" t="s">
        <v>66</v>
      </c>
      <c r="H70" s="9">
        <v>1</v>
      </c>
      <c r="I70" s="11">
        <v>299.99</v>
      </c>
      <c r="J70" s="9" t="s">
        <v>46</v>
      </c>
      <c r="K70" s="9" t="s">
        <v>60</v>
      </c>
      <c r="L70" s="9" t="s">
        <v>47</v>
      </c>
      <c r="M70" s="10">
        <v>44891</v>
      </c>
      <c r="N70" s="11">
        <v>299.99</v>
      </c>
      <c r="O70" s="12" t="str">
        <f t="shared" si="5"/>
        <v>2024-07</v>
      </c>
      <c r="P70" s="12">
        <f t="shared" si="6"/>
        <v>2024</v>
      </c>
      <c r="Q70" s="12">
        <f t="shared" si="7"/>
        <v>1</v>
      </c>
      <c r="R70" s="12" t="str">
        <f t="shared" si="8"/>
        <v>FT</v>
      </c>
      <c r="S70" s="13">
        <f t="shared" ca="1" si="9"/>
        <v>46309.658403472225</v>
      </c>
    </row>
    <row r="71" spans="1:19" ht="15.75" customHeight="1" x14ac:dyDescent="0.3">
      <c r="A71" s="9" t="s">
        <v>214</v>
      </c>
      <c r="B71" s="10">
        <v>45487</v>
      </c>
      <c r="C71" s="9" t="s">
        <v>212</v>
      </c>
      <c r="D71" s="9" t="s">
        <v>213</v>
      </c>
      <c r="E71" s="9" t="s">
        <v>146</v>
      </c>
      <c r="F71" s="9" t="s">
        <v>147</v>
      </c>
      <c r="G71" s="9" t="s">
        <v>66</v>
      </c>
      <c r="H71" s="9">
        <v>2</v>
      </c>
      <c r="I71" s="11">
        <v>199.99</v>
      </c>
      <c r="J71" s="9" t="s">
        <v>40</v>
      </c>
      <c r="K71" s="9" t="s">
        <v>60</v>
      </c>
      <c r="L71" s="9" t="s">
        <v>42</v>
      </c>
      <c r="M71" s="10">
        <v>44541</v>
      </c>
      <c r="N71" s="11">
        <v>399.98</v>
      </c>
      <c r="O71" s="12" t="str">
        <f t="shared" si="5"/>
        <v>2024-07</v>
      </c>
      <c r="P71" s="12">
        <f t="shared" si="6"/>
        <v>2024</v>
      </c>
      <c r="Q71" s="12">
        <f t="shared" si="7"/>
        <v>2</v>
      </c>
      <c r="R71" s="12" t="str">
        <f t="shared" si="8"/>
        <v>FT</v>
      </c>
      <c r="S71" s="13">
        <f t="shared" ca="1" si="9"/>
        <v>46309.658403472225</v>
      </c>
    </row>
    <row r="72" spans="1:19" ht="15.75" customHeight="1" x14ac:dyDescent="0.3">
      <c r="A72" s="9" t="s">
        <v>215</v>
      </c>
      <c r="B72" s="10">
        <v>45490</v>
      </c>
      <c r="C72" s="9" t="s">
        <v>216</v>
      </c>
      <c r="D72" s="9" t="s">
        <v>217</v>
      </c>
      <c r="E72" s="9" t="s">
        <v>51</v>
      </c>
      <c r="F72" s="9" t="s">
        <v>52</v>
      </c>
      <c r="G72" s="9" t="s">
        <v>53</v>
      </c>
      <c r="H72" s="9">
        <v>3</v>
      </c>
      <c r="I72" s="11">
        <v>59.99</v>
      </c>
      <c r="J72" s="9" t="s">
        <v>46</v>
      </c>
      <c r="K72" s="9" t="s">
        <v>70</v>
      </c>
      <c r="L72" s="9" t="s">
        <v>42</v>
      </c>
      <c r="M72" s="10">
        <v>45130</v>
      </c>
      <c r="N72" s="11">
        <v>179.97</v>
      </c>
      <c r="O72" s="12" t="str">
        <f t="shared" si="5"/>
        <v>2024-07</v>
      </c>
      <c r="P72" s="12">
        <f t="shared" si="6"/>
        <v>2024</v>
      </c>
      <c r="Q72" s="12">
        <f t="shared" si="7"/>
        <v>0</v>
      </c>
      <c r="R72" s="12" t="str">
        <f t="shared" si="8"/>
        <v>GM</v>
      </c>
      <c r="S72" s="13">
        <f t="shared" ca="1" si="9"/>
        <v>46309.658403472225</v>
      </c>
    </row>
    <row r="73" spans="1:19" ht="15.75" customHeight="1" x14ac:dyDescent="0.3">
      <c r="A73" s="9" t="s">
        <v>218</v>
      </c>
      <c r="B73" s="10">
        <v>45490</v>
      </c>
      <c r="C73" s="9" t="s">
        <v>92</v>
      </c>
      <c r="D73" s="9" t="s">
        <v>93</v>
      </c>
      <c r="E73" s="9" t="s">
        <v>64</v>
      </c>
      <c r="F73" s="9" t="s">
        <v>65</v>
      </c>
      <c r="G73" s="9" t="s">
        <v>66</v>
      </c>
      <c r="H73" s="9">
        <v>3</v>
      </c>
      <c r="I73" s="11">
        <v>149.99</v>
      </c>
      <c r="J73" s="9" t="s">
        <v>40</v>
      </c>
      <c r="K73" s="9" t="s">
        <v>41</v>
      </c>
      <c r="L73" s="9" t="s">
        <v>47</v>
      </c>
      <c r="M73" s="10">
        <v>45199</v>
      </c>
      <c r="N73" s="11">
        <v>449.97</v>
      </c>
      <c r="O73" s="12" t="str">
        <f t="shared" si="5"/>
        <v>2024-07</v>
      </c>
      <c r="P73" s="12">
        <f t="shared" si="6"/>
        <v>2024</v>
      </c>
      <c r="Q73" s="12">
        <f t="shared" si="7"/>
        <v>0</v>
      </c>
      <c r="R73" s="12" t="str">
        <f t="shared" si="8"/>
        <v>PR</v>
      </c>
      <c r="S73" s="13">
        <f t="shared" ca="1" si="9"/>
        <v>46309.658403472225</v>
      </c>
    </row>
    <row r="74" spans="1:19" ht="15.75" customHeight="1" x14ac:dyDescent="0.3">
      <c r="A74" s="9" t="s">
        <v>219</v>
      </c>
      <c r="B74" s="10">
        <v>45491</v>
      </c>
      <c r="C74" s="9" t="s">
        <v>85</v>
      </c>
      <c r="D74" s="9" t="s">
        <v>86</v>
      </c>
      <c r="E74" s="9" t="s">
        <v>146</v>
      </c>
      <c r="F74" s="9" t="s">
        <v>147</v>
      </c>
      <c r="G74" s="9" t="s">
        <v>66</v>
      </c>
      <c r="H74" s="9">
        <v>3</v>
      </c>
      <c r="I74" s="11">
        <v>199.99</v>
      </c>
      <c r="J74" s="9" t="s">
        <v>40</v>
      </c>
      <c r="K74" s="9" t="s">
        <v>60</v>
      </c>
      <c r="L74" s="9" t="s">
        <v>47</v>
      </c>
      <c r="M74" s="10">
        <v>45254</v>
      </c>
      <c r="N74" s="11">
        <v>599.97</v>
      </c>
      <c r="O74" s="12" t="str">
        <f t="shared" si="5"/>
        <v>2024-07</v>
      </c>
      <c r="P74" s="12">
        <f t="shared" si="6"/>
        <v>2024</v>
      </c>
      <c r="Q74" s="12">
        <f t="shared" si="7"/>
        <v>0</v>
      </c>
      <c r="R74" s="12" t="str">
        <f t="shared" si="8"/>
        <v>KH</v>
      </c>
      <c r="S74" s="13">
        <f t="shared" ca="1" si="9"/>
        <v>46309.658403472225</v>
      </c>
    </row>
    <row r="75" spans="1:19" ht="15.75" customHeight="1" x14ac:dyDescent="0.3">
      <c r="A75" s="9" t="s">
        <v>220</v>
      </c>
      <c r="B75" s="10">
        <v>45496</v>
      </c>
      <c r="C75" s="9" t="s">
        <v>170</v>
      </c>
      <c r="D75" s="9" t="s">
        <v>171</v>
      </c>
      <c r="E75" s="9" t="s">
        <v>81</v>
      </c>
      <c r="F75" s="9" t="s">
        <v>82</v>
      </c>
      <c r="G75" s="9" t="s">
        <v>39</v>
      </c>
      <c r="H75" s="9">
        <v>1</v>
      </c>
      <c r="I75" s="11">
        <v>899.99</v>
      </c>
      <c r="J75" s="9" t="s">
        <v>40</v>
      </c>
      <c r="K75" s="9" t="s">
        <v>41</v>
      </c>
      <c r="L75" s="9" t="s">
        <v>56</v>
      </c>
      <c r="M75" s="10">
        <v>45179</v>
      </c>
      <c r="N75" s="11">
        <v>899.99</v>
      </c>
      <c r="O75" s="12" t="str">
        <f t="shared" si="5"/>
        <v>2024-07</v>
      </c>
      <c r="P75" s="12">
        <f t="shared" si="6"/>
        <v>2024</v>
      </c>
      <c r="Q75" s="12">
        <f t="shared" si="7"/>
        <v>0</v>
      </c>
      <c r="R75" s="12" t="str">
        <f t="shared" si="8"/>
        <v>SB</v>
      </c>
      <c r="S75" s="13">
        <f t="shared" ca="1" si="9"/>
        <v>46309.658403472225</v>
      </c>
    </row>
    <row r="76" spans="1:19" ht="15.75" customHeight="1" x14ac:dyDescent="0.3">
      <c r="A76" s="9" t="s">
        <v>221</v>
      </c>
      <c r="B76" s="10">
        <v>45497</v>
      </c>
      <c r="C76" s="9" t="s">
        <v>44</v>
      </c>
      <c r="D76" s="9" t="s">
        <v>45</v>
      </c>
      <c r="E76" s="9" t="s">
        <v>81</v>
      </c>
      <c r="F76" s="9" t="s">
        <v>82</v>
      </c>
      <c r="G76" s="9" t="s">
        <v>39</v>
      </c>
      <c r="H76" s="9">
        <v>5</v>
      </c>
      <c r="I76" s="11">
        <v>899.99</v>
      </c>
      <c r="J76" s="9" t="s">
        <v>77</v>
      </c>
      <c r="K76" s="9" t="s">
        <v>55</v>
      </c>
      <c r="L76" s="9" t="s">
        <v>56</v>
      </c>
      <c r="M76" s="10">
        <v>44899</v>
      </c>
      <c r="N76" s="11">
        <v>4499.95</v>
      </c>
      <c r="O76" s="12" t="str">
        <f t="shared" si="5"/>
        <v>2024-07</v>
      </c>
      <c r="P76" s="12">
        <f t="shared" si="6"/>
        <v>2024</v>
      </c>
      <c r="Q76" s="12">
        <f t="shared" si="7"/>
        <v>1</v>
      </c>
      <c r="R76" s="12" t="str">
        <f t="shared" si="8"/>
        <v>JJ</v>
      </c>
      <c r="S76" s="13">
        <f t="shared" ca="1" si="9"/>
        <v>46309.658403472225</v>
      </c>
    </row>
    <row r="77" spans="1:19" ht="15.75" customHeight="1" x14ac:dyDescent="0.3">
      <c r="A77" s="9" t="s">
        <v>222</v>
      </c>
      <c r="B77" s="10">
        <v>45498</v>
      </c>
      <c r="C77" s="9" t="s">
        <v>202</v>
      </c>
      <c r="D77" s="9" t="s">
        <v>203</v>
      </c>
      <c r="E77" s="9" t="s">
        <v>51</v>
      </c>
      <c r="F77" s="9" t="s">
        <v>52</v>
      </c>
      <c r="G77" s="9" t="s">
        <v>53</v>
      </c>
      <c r="H77" s="9">
        <v>2</v>
      </c>
      <c r="I77" s="11">
        <v>59.99</v>
      </c>
      <c r="J77" s="9" t="s">
        <v>40</v>
      </c>
      <c r="K77" s="9" t="s">
        <v>60</v>
      </c>
      <c r="L77" s="9" t="s">
        <v>56</v>
      </c>
      <c r="M77" s="10">
        <v>45152</v>
      </c>
      <c r="N77" s="11">
        <v>119.98</v>
      </c>
      <c r="O77" s="12" t="str">
        <f t="shared" si="5"/>
        <v>2024-07</v>
      </c>
      <c r="P77" s="12">
        <f t="shared" si="6"/>
        <v>2024</v>
      </c>
      <c r="Q77" s="12">
        <f t="shared" si="7"/>
        <v>0</v>
      </c>
      <c r="R77" s="12" t="str">
        <f t="shared" si="8"/>
        <v>DM</v>
      </c>
      <c r="S77" s="13">
        <f t="shared" ca="1" si="9"/>
        <v>46309.658403472225</v>
      </c>
    </row>
    <row r="78" spans="1:19" ht="15.75" customHeight="1" x14ac:dyDescent="0.3">
      <c r="A78" s="9" t="s">
        <v>223</v>
      </c>
      <c r="B78" s="10">
        <v>45498</v>
      </c>
      <c r="C78" s="9" t="s">
        <v>216</v>
      </c>
      <c r="D78" s="9" t="s">
        <v>217</v>
      </c>
      <c r="E78" s="9" t="s">
        <v>37</v>
      </c>
      <c r="F78" s="9" t="s">
        <v>38</v>
      </c>
      <c r="G78" s="9" t="s">
        <v>39</v>
      </c>
      <c r="H78" s="9">
        <v>4</v>
      </c>
      <c r="I78" s="11">
        <v>249.99</v>
      </c>
      <c r="J78" s="9" t="s">
        <v>77</v>
      </c>
      <c r="K78" s="9" t="s">
        <v>41</v>
      </c>
      <c r="L78" s="9" t="s">
        <v>56</v>
      </c>
      <c r="M78" s="10">
        <v>45127</v>
      </c>
      <c r="N78" s="11">
        <v>999.96</v>
      </c>
      <c r="O78" s="12" t="str">
        <f t="shared" si="5"/>
        <v>2024-07</v>
      </c>
      <c r="P78" s="12">
        <f t="shared" si="6"/>
        <v>2024</v>
      </c>
      <c r="Q78" s="12">
        <f t="shared" si="7"/>
        <v>1</v>
      </c>
      <c r="R78" s="12" t="str">
        <f t="shared" si="8"/>
        <v>GM</v>
      </c>
      <c r="S78" s="13">
        <f t="shared" ca="1" si="9"/>
        <v>46309.658403472225</v>
      </c>
    </row>
    <row r="79" spans="1:19" ht="15.75" customHeight="1" x14ac:dyDescent="0.3">
      <c r="A79" s="9" t="s">
        <v>224</v>
      </c>
      <c r="B79" s="10">
        <v>45500</v>
      </c>
      <c r="C79" s="9" t="s">
        <v>116</v>
      </c>
      <c r="D79" s="9" t="s">
        <v>117</v>
      </c>
      <c r="E79" s="9" t="s">
        <v>37</v>
      </c>
      <c r="F79" s="9" t="s">
        <v>38</v>
      </c>
      <c r="G79" s="9" t="s">
        <v>39</v>
      </c>
      <c r="H79" s="9">
        <v>2</v>
      </c>
      <c r="I79" s="11">
        <v>249.99</v>
      </c>
      <c r="J79" s="9" t="s">
        <v>40</v>
      </c>
      <c r="K79" s="9" t="s">
        <v>60</v>
      </c>
      <c r="L79" s="9" t="s">
        <v>47</v>
      </c>
      <c r="M79" s="10">
        <v>45164</v>
      </c>
      <c r="N79" s="11">
        <v>499.98</v>
      </c>
      <c r="O79" s="12" t="str">
        <f t="shared" si="5"/>
        <v>2024-07</v>
      </c>
      <c r="P79" s="12">
        <f t="shared" si="6"/>
        <v>2024</v>
      </c>
      <c r="Q79" s="12">
        <f t="shared" si="7"/>
        <v>0</v>
      </c>
      <c r="R79" s="12" t="str">
        <f t="shared" si="8"/>
        <v>BY</v>
      </c>
      <c r="S79" s="13">
        <f t="shared" ca="1" si="9"/>
        <v>46309.658403472225</v>
      </c>
    </row>
    <row r="80" spans="1:19" ht="15.75" customHeight="1" x14ac:dyDescent="0.3">
      <c r="A80" s="9" t="s">
        <v>225</v>
      </c>
      <c r="B80" s="10">
        <v>45500</v>
      </c>
      <c r="C80" s="9" t="s">
        <v>167</v>
      </c>
      <c r="D80" s="9" t="s">
        <v>168</v>
      </c>
      <c r="E80" s="9" t="s">
        <v>125</v>
      </c>
      <c r="F80" s="9" t="s">
        <v>126</v>
      </c>
      <c r="G80" s="9" t="s">
        <v>66</v>
      </c>
      <c r="H80" s="9">
        <v>1</v>
      </c>
      <c r="I80" s="11">
        <v>299.99</v>
      </c>
      <c r="J80" s="9" t="s">
        <v>40</v>
      </c>
      <c r="K80" s="9" t="s">
        <v>55</v>
      </c>
      <c r="L80" s="9" t="s">
        <v>42</v>
      </c>
      <c r="M80" s="10">
        <v>44982</v>
      </c>
      <c r="N80" s="11">
        <v>299.99</v>
      </c>
      <c r="O80" s="12" t="str">
        <f t="shared" si="5"/>
        <v>2024-07</v>
      </c>
      <c r="P80" s="12">
        <f t="shared" si="6"/>
        <v>2024</v>
      </c>
      <c r="Q80" s="12">
        <f t="shared" si="7"/>
        <v>1</v>
      </c>
      <c r="R80" s="12" t="str">
        <f t="shared" si="8"/>
        <v>DK</v>
      </c>
      <c r="S80" s="13">
        <f t="shared" ca="1" si="9"/>
        <v>46309.658403472225</v>
      </c>
    </row>
    <row r="81" spans="1:19" ht="15.75" customHeight="1" x14ac:dyDescent="0.3">
      <c r="A81" s="9" t="s">
        <v>226</v>
      </c>
      <c r="B81" s="10">
        <v>45501</v>
      </c>
      <c r="C81" s="9" t="s">
        <v>106</v>
      </c>
      <c r="D81" s="9" t="s">
        <v>107</v>
      </c>
      <c r="E81" s="9" t="s">
        <v>137</v>
      </c>
      <c r="F81" s="9" t="s">
        <v>138</v>
      </c>
      <c r="G81" s="9" t="s">
        <v>39</v>
      </c>
      <c r="H81" s="9">
        <v>2</v>
      </c>
      <c r="I81" s="11">
        <v>89.99</v>
      </c>
      <c r="J81" s="9" t="s">
        <v>54</v>
      </c>
      <c r="K81" s="9" t="s">
        <v>55</v>
      </c>
      <c r="L81" s="9" t="s">
        <v>42</v>
      </c>
      <c r="M81" s="10">
        <v>44976</v>
      </c>
      <c r="N81" s="11">
        <v>179.98</v>
      </c>
      <c r="O81" s="12" t="str">
        <f t="shared" si="5"/>
        <v>2024-07</v>
      </c>
      <c r="P81" s="12">
        <f t="shared" si="6"/>
        <v>2024</v>
      </c>
      <c r="Q81" s="12">
        <f t="shared" si="7"/>
        <v>1</v>
      </c>
      <c r="R81" s="12" t="str">
        <f t="shared" si="8"/>
        <v>MC</v>
      </c>
      <c r="S81" s="13">
        <f t="shared" ca="1" si="9"/>
        <v>46309.658403472225</v>
      </c>
    </row>
    <row r="82" spans="1:19" ht="15.75" customHeight="1" x14ac:dyDescent="0.3">
      <c r="A82" s="9" t="s">
        <v>227</v>
      </c>
      <c r="B82" s="10">
        <v>45501</v>
      </c>
      <c r="C82" s="9" t="s">
        <v>167</v>
      </c>
      <c r="D82" s="9" t="s">
        <v>168</v>
      </c>
      <c r="E82" s="9" t="s">
        <v>125</v>
      </c>
      <c r="F82" s="9" t="s">
        <v>126</v>
      </c>
      <c r="G82" s="9" t="s">
        <v>66</v>
      </c>
      <c r="H82" s="9">
        <v>3</v>
      </c>
      <c r="I82" s="11">
        <v>299.99</v>
      </c>
      <c r="J82" s="9" t="s">
        <v>40</v>
      </c>
      <c r="K82" s="9" t="s">
        <v>41</v>
      </c>
      <c r="L82" s="9" t="s">
        <v>42</v>
      </c>
      <c r="M82" s="10">
        <v>44732</v>
      </c>
      <c r="N82" s="11">
        <v>899.97</v>
      </c>
      <c r="O82" s="12" t="str">
        <f t="shared" si="5"/>
        <v>2024-07</v>
      </c>
      <c r="P82" s="12">
        <f t="shared" si="6"/>
        <v>2024</v>
      </c>
      <c r="Q82" s="12">
        <f t="shared" si="7"/>
        <v>2</v>
      </c>
      <c r="R82" s="12" t="str">
        <f t="shared" si="8"/>
        <v>DK</v>
      </c>
      <c r="S82" s="13">
        <f t="shared" ca="1" si="9"/>
        <v>46309.658403472225</v>
      </c>
    </row>
    <row r="83" spans="1:19" ht="15.75" customHeight="1" x14ac:dyDescent="0.3">
      <c r="A83" s="9" t="s">
        <v>228</v>
      </c>
      <c r="B83" s="10">
        <v>45503</v>
      </c>
      <c r="C83" s="9" t="s">
        <v>106</v>
      </c>
      <c r="D83" s="9" t="s">
        <v>107</v>
      </c>
      <c r="E83" s="9" t="s">
        <v>100</v>
      </c>
      <c r="F83" s="9" t="s">
        <v>101</v>
      </c>
      <c r="G83" s="9" t="s">
        <v>39</v>
      </c>
      <c r="H83" s="9">
        <v>2</v>
      </c>
      <c r="I83" s="11">
        <v>699.99</v>
      </c>
      <c r="J83" s="9" t="s">
        <v>46</v>
      </c>
      <c r="K83" s="9" t="s">
        <v>60</v>
      </c>
      <c r="L83" s="9" t="s">
        <v>47</v>
      </c>
      <c r="M83" s="10">
        <v>44999</v>
      </c>
      <c r="N83" s="11">
        <v>1399.98</v>
      </c>
      <c r="O83" s="12" t="str">
        <f t="shared" si="5"/>
        <v>2024-07</v>
      </c>
      <c r="P83" s="12">
        <f t="shared" si="6"/>
        <v>2024</v>
      </c>
      <c r="Q83" s="12">
        <f t="shared" si="7"/>
        <v>1</v>
      </c>
      <c r="R83" s="12" t="str">
        <f t="shared" si="8"/>
        <v>MC</v>
      </c>
      <c r="S83" s="13">
        <f t="shared" ca="1" si="9"/>
        <v>46309.658403472225</v>
      </c>
    </row>
    <row r="84" spans="1:19" ht="15.75" customHeight="1" x14ac:dyDescent="0.3">
      <c r="A84" s="9" t="s">
        <v>229</v>
      </c>
      <c r="B84" s="10">
        <v>45504</v>
      </c>
      <c r="C84" s="9" t="s">
        <v>140</v>
      </c>
      <c r="D84" s="9" t="s">
        <v>141</v>
      </c>
      <c r="E84" s="9" t="s">
        <v>81</v>
      </c>
      <c r="F84" s="9" t="s">
        <v>82</v>
      </c>
      <c r="G84" s="9" t="s">
        <v>39</v>
      </c>
      <c r="H84" s="9">
        <v>4</v>
      </c>
      <c r="I84" s="11">
        <v>899.99</v>
      </c>
      <c r="J84" s="9" t="s">
        <v>77</v>
      </c>
      <c r="K84" s="9" t="s">
        <v>55</v>
      </c>
      <c r="L84" s="9" t="s">
        <v>56</v>
      </c>
      <c r="M84" s="10">
        <v>44523</v>
      </c>
      <c r="N84" s="11">
        <v>3599.96</v>
      </c>
      <c r="O84" s="12" t="str">
        <f t="shared" si="5"/>
        <v>2024-07</v>
      </c>
      <c r="P84" s="12">
        <f t="shared" si="6"/>
        <v>2024</v>
      </c>
      <c r="Q84" s="12">
        <f t="shared" si="7"/>
        <v>2</v>
      </c>
      <c r="R84" s="12" t="str">
        <f t="shared" si="8"/>
        <v>HR</v>
      </c>
      <c r="S84" s="13">
        <f t="shared" ca="1" si="9"/>
        <v>46309.658403472225</v>
      </c>
    </row>
    <row r="85" spans="1:19" ht="15.75" customHeight="1" x14ac:dyDescent="0.3">
      <c r="A85" s="9" t="s">
        <v>230</v>
      </c>
      <c r="B85" s="10">
        <v>45509</v>
      </c>
      <c r="C85" s="9" t="s">
        <v>231</v>
      </c>
      <c r="D85" s="9" t="s">
        <v>232</v>
      </c>
      <c r="E85" s="9" t="s">
        <v>64</v>
      </c>
      <c r="F85" s="9" t="s">
        <v>65</v>
      </c>
      <c r="G85" s="9" t="s">
        <v>66</v>
      </c>
      <c r="H85" s="9">
        <v>2</v>
      </c>
      <c r="I85" s="11">
        <v>149.99</v>
      </c>
      <c r="J85" s="9" t="s">
        <v>46</v>
      </c>
      <c r="K85" s="9" t="s">
        <v>70</v>
      </c>
      <c r="L85" s="9" t="s">
        <v>42</v>
      </c>
      <c r="M85" s="10">
        <v>44542</v>
      </c>
      <c r="N85" s="11">
        <v>299.98</v>
      </c>
      <c r="O85" s="12" t="str">
        <f t="shared" si="5"/>
        <v>2024-08</v>
      </c>
      <c r="P85" s="12">
        <f t="shared" si="6"/>
        <v>2024</v>
      </c>
      <c r="Q85" s="12">
        <f t="shared" si="7"/>
        <v>2</v>
      </c>
      <c r="R85" s="12" t="str">
        <f t="shared" si="8"/>
        <v>EH</v>
      </c>
      <c r="S85" s="13">
        <f t="shared" ca="1" si="9"/>
        <v>46309.658403472225</v>
      </c>
    </row>
    <row r="86" spans="1:19" ht="15.75" customHeight="1" x14ac:dyDescent="0.3">
      <c r="A86" s="9" t="s">
        <v>233</v>
      </c>
      <c r="B86" s="10">
        <v>45510</v>
      </c>
      <c r="C86" s="9" t="s">
        <v>122</v>
      </c>
      <c r="D86" s="9" t="s">
        <v>123</v>
      </c>
      <c r="E86" s="9" t="s">
        <v>64</v>
      </c>
      <c r="F86" s="9" t="s">
        <v>65</v>
      </c>
      <c r="G86" s="9" t="s">
        <v>66</v>
      </c>
      <c r="H86" s="9">
        <v>2</v>
      </c>
      <c r="I86" s="11">
        <v>149.99</v>
      </c>
      <c r="J86" s="9" t="s">
        <v>77</v>
      </c>
      <c r="K86" s="9" t="s">
        <v>83</v>
      </c>
      <c r="L86" s="9" t="s">
        <v>56</v>
      </c>
      <c r="M86" s="10">
        <v>44667</v>
      </c>
      <c r="N86" s="11">
        <v>299.98</v>
      </c>
      <c r="O86" s="12" t="str">
        <f t="shared" si="5"/>
        <v>2024-08</v>
      </c>
      <c r="P86" s="12">
        <f t="shared" si="6"/>
        <v>2024</v>
      </c>
      <c r="Q86" s="12">
        <f t="shared" si="7"/>
        <v>2</v>
      </c>
      <c r="R86" s="12" t="str">
        <f t="shared" si="8"/>
        <v>CP</v>
      </c>
      <c r="S86" s="13">
        <f t="shared" ca="1" si="9"/>
        <v>46309.658403472225</v>
      </c>
    </row>
    <row r="87" spans="1:19" ht="15.75" customHeight="1" x14ac:dyDescent="0.3">
      <c r="A87" s="9" t="s">
        <v>234</v>
      </c>
      <c r="B87" s="10">
        <v>45513</v>
      </c>
      <c r="C87" s="9" t="s">
        <v>109</v>
      </c>
      <c r="D87" s="9" t="s">
        <v>110</v>
      </c>
      <c r="E87" s="9" t="s">
        <v>137</v>
      </c>
      <c r="F87" s="9" t="s">
        <v>138</v>
      </c>
      <c r="G87" s="9" t="s">
        <v>39</v>
      </c>
      <c r="H87" s="9">
        <v>1</v>
      </c>
      <c r="I87" s="11">
        <v>89.99</v>
      </c>
      <c r="J87" s="9" t="s">
        <v>46</v>
      </c>
      <c r="K87" s="9" t="s">
        <v>60</v>
      </c>
      <c r="L87" s="9" t="s">
        <v>56</v>
      </c>
      <c r="M87" s="10">
        <v>45393</v>
      </c>
      <c r="N87" s="11">
        <v>89.99</v>
      </c>
      <c r="O87" s="12" t="str">
        <f t="shared" si="5"/>
        <v>2024-08</v>
      </c>
      <c r="P87" s="12">
        <f t="shared" si="6"/>
        <v>2024</v>
      </c>
      <c r="Q87" s="12">
        <f t="shared" si="7"/>
        <v>0</v>
      </c>
      <c r="R87" s="12" t="str">
        <f t="shared" si="8"/>
        <v>MG</v>
      </c>
      <c r="S87" s="13">
        <f t="shared" ca="1" si="9"/>
        <v>46309.658403472225</v>
      </c>
    </row>
    <row r="88" spans="1:19" ht="15.75" customHeight="1" x14ac:dyDescent="0.3">
      <c r="A88" s="9" t="s">
        <v>235</v>
      </c>
      <c r="B88" s="10">
        <v>45515</v>
      </c>
      <c r="C88" s="9" t="s">
        <v>106</v>
      </c>
      <c r="D88" s="9" t="s">
        <v>107</v>
      </c>
      <c r="E88" s="9" t="s">
        <v>125</v>
      </c>
      <c r="F88" s="9" t="s">
        <v>126</v>
      </c>
      <c r="G88" s="9" t="s">
        <v>66</v>
      </c>
      <c r="H88" s="9">
        <v>5</v>
      </c>
      <c r="I88" s="11">
        <v>299.99</v>
      </c>
      <c r="J88" s="9" t="s">
        <v>46</v>
      </c>
      <c r="K88" s="9" t="s">
        <v>60</v>
      </c>
      <c r="L88" s="9" t="s">
        <v>42</v>
      </c>
      <c r="M88" s="10">
        <v>44965</v>
      </c>
      <c r="N88" s="11">
        <v>1499.95</v>
      </c>
      <c r="O88" s="12" t="str">
        <f t="shared" si="5"/>
        <v>2024-08</v>
      </c>
      <c r="P88" s="12">
        <f t="shared" si="6"/>
        <v>2024</v>
      </c>
      <c r="Q88" s="12">
        <f t="shared" si="7"/>
        <v>1</v>
      </c>
      <c r="R88" s="12" t="str">
        <f t="shared" si="8"/>
        <v>MC</v>
      </c>
      <c r="S88" s="13">
        <f t="shared" ca="1" si="9"/>
        <v>46309.658403472225</v>
      </c>
    </row>
    <row r="89" spans="1:19" ht="15.75" customHeight="1" x14ac:dyDescent="0.3">
      <c r="A89" s="9" t="s">
        <v>236</v>
      </c>
      <c r="B89" s="10">
        <v>45517</v>
      </c>
      <c r="C89" s="9" t="s">
        <v>202</v>
      </c>
      <c r="D89" s="9" t="s">
        <v>203</v>
      </c>
      <c r="E89" s="9" t="s">
        <v>72</v>
      </c>
      <c r="F89" s="9" t="s">
        <v>73</v>
      </c>
      <c r="G89" s="9" t="s">
        <v>39</v>
      </c>
      <c r="H89" s="9">
        <v>4</v>
      </c>
      <c r="I89" s="11">
        <v>149.99</v>
      </c>
      <c r="J89" s="9" t="s">
        <v>77</v>
      </c>
      <c r="K89" s="9" t="s">
        <v>55</v>
      </c>
      <c r="L89" s="9" t="s">
        <v>47</v>
      </c>
      <c r="M89" s="10">
        <v>44820</v>
      </c>
      <c r="N89" s="11">
        <v>599.96</v>
      </c>
      <c r="O89" s="12" t="str">
        <f t="shared" si="5"/>
        <v>2024-08</v>
      </c>
      <c r="P89" s="12">
        <f t="shared" si="6"/>
        <v>2024</v>
      </c>
      <c r="Q89" s="12">
        <f t="shared" si="7"/>
        <v>1</v>
      </c>
      <c r="R89" s="12" t="str">
        <f t="shared" si="8"/>
        <v>DM</v>
      </c>
      <c r="S89" s="13">
        <f t="shared" ca="1" si="9"/>
        <v>46309.658403472225</v>
      </c>
    </row>
    <row r="90" spans="1:19" ht="15.75" customHeight="1" x14ac:dyDescent="0.3">
      <c r="A90" s="9" t="s">
        <v>237</v>
      </c>
      <c r="B90" s="10">
        <v>45517</v>
      </c>
      <c r="C90" s="9" t="s">
        <v>205</v>
      </c>
      <c r="D90" s="9" t="s">
        <v>206</v>
      </c>
      <c r="E90" s="9" t="s">
        <v>37</v>
      </c>
      <c r="F90" s="9" t="s">
        <v>38</v>
      </c>
      <c r="G90" s="9" t="s">
        <v>39</v>
      </c>
      <c r="H90" s="9">
        <v>5</v>
      </c>
      <c r="I90" s="11">
        <v>249.99</v>
      </c>
      <c r="J90" s="9" t="s">
        <v>54</v>
      </c>
      <c r="K90" s="9" t="s">
        <v>83</v>
      </c>
      <c r="L90" s="9" t="s">
        <v>47</v>
      </c>
      <c r="M90" s="10">
        <v>44782</v>
      </c>
      <c r="N90" s="11">
        <v>1249.95</v>
      </c>
      <c r="O90" s="12" t="str">
        <f t="shared" si="5"/>
        <v>2024-08</v>
      </c>
      <c r="P90" s="12">
        <f t="shared" si="6"/>
        <v>2024</v>
      </c>
      <c r="Q90" s="12">
        <f t="shared" si="7"/>
        <v>2</v>
      </c>
      <c r="R90" s="12" t="str">
        <f t="shared" si="8"/>
        <v>MW</v>
      </c>
      <c r="S90" s="13">
        <f t="shared" ca="1" si="9"/>
        <v>46309.658403472225</v>
      </c>
    </row>
    <row r="91" spans="1:19" ht="15.75" customHeight="1" x14ac:dyDescent="0.3">
      <c r="A91" s="9" t="s">
        <v>238</v>
      </c>
      <c r="B91" s="10">
        <v>45517</v>
      </c>
      <c r="C91" s="9" t="s">
        <v>85</v>
      </c>
      <c r="D91" s="9" t="s">
        <v>86</v>
      </c>
      <c r="E91" s="9" t="s">
        <v>37</v>
      </c>
      <c r="F91" s="9" t="s">
        <v>38</v>
      </c>
      <c r="G91" s="9" t="s">
        <v>39</v>
      </c>
      <c r="H91" s="9">
        <v>3</v>
      </c>
      <c r="I91" s="11">
        <v>249.99</v>
      </c>
      <c r="J91" s="9" t="s">
        <v>54</v>
      </c>
      <c r="K91" s="9" t="s">
        <v>60</v>
      </c>
      <c r="L91" s="9" t="s">
        <v>47</v>
      </c>
      <c r="M91" s="10">
        <v>44465</v>
      </c>
      <c r="N91" s="11">
        <v>749.97</v>
      </c>
      <c r="O91" s="12" t="str">
        <f t="shared" si="5"/>
        <v>2024-08</v>
      </c>
      <c r="P91" s="12">
        <f t="shared" si="6"/>
        <v>2024</v>
      </c>
      <c r="Q91" s="12">
        <f t="shared" si="7"/>
        <v>2</v>
      </c>
      <c r="R91" s="12" t="str">
        <f t="shared" si="8"/>
        <v>KH</v>
      </c>
      <c r="S91" s="13">
        <f t="shared" ca="1" si="9"/>
        <v>46309.658403472225</v>
      </c>
    </row>
    <row r="92" spans="1:19" ht="15.75" customHeight="1" x14ac:dyDescent="0.3">
      <c r="A92" s="9" t="s">
        <v>239</v>
      </c>
      <c r="B92" s="10">
        <v>45517</v>
      </c>
      <c r="C92" s="9" t="s">
        <v>58</v>
      </c>
      <c r="D92" s="9" t="s">
        <v>59</v>
      </c>
      <c r="E92" s="9" t="s">
        <v>146</v>
      </c>
      <c r="F92" s="9" t="s">
        <v>147</v>
      </c>
      <c r="G92" s="9" t="s">
        <v>66</v>
      </c>
      <c r="H92" s="9">
        <v>4</v>
      </c>
      <c r="I92" s="11">
        <v>199.99</v>
      </c>
      <c r="J92" s="9" t="s">
        <v>40</v>
      </c>
      <c r="K92" s="9" t="s">
        <v>60</v>
      </c>
      <c r="L92" s="9" t="s">
        <v>56</v>
      </c>
      <c r="M92" s="10">
        <v>44458</v>
      </c>
      <c r="N92" s="11">
        <v>799.96</v>
      </c>
      <c r="O92" s="12" t="str">
        <f t="shared" si="5"/>
        <v>2024-08</v>
      </c>
      <c r="P92" s="12">
        <f t="shared" si="6"/>
        <v>2024</v>
      </c>
      <c r="Q92" s="12">
        <f t="shared" si="7"/>
        <v>2</v>
      </c>
      <c r="R92" s="12" t="str">
        <f t="shared" si="8"/>
        <v>KB</v>
      </c>
      <c r="S92" s="13">
        <f t="shared" ca="1" si="9"/>
        <v>46309.658403472225</v>
      </c>
    </row>
    <row r="93" spans="1:19" ht="15.75" customHeight="1" x14ac:dyDescent="0.3">
      <c r="A93" s="9" t="s">
        <v>240</v>
      </c>
      <c r="B93" s="10">
        <v>45519</v>
      </c>
      <c r="C93" s="9" t="s">
        <v>178</v>
      </c>
      <c r="D93" s="9" t="s">
        <v>179</v>
      </c>
      <c r="E93" s="9" t="s">
        <v>146</v>
      </c>
      <c r="F93" s="9" t="s">
        <v>147</v>
      </c>
      <c r="G93" s="9" t="s">
        <v>66</v>
      </c>
      <c r="H93" s="9">
        <v>5</v>
      </c>
      <c r="I93" s="11">
        <v>199.99</v>
      </c>
      <c r="J93" s="9" t="s">
        <v>40</v>
      </c>
      <c r="K93" s="9" t="s">
        <v>60</v>
      </c>
      <c r="L93" s="9" t="s">
        <v>47</v>
      </c>
      <c r="M93" s="10">
        <v>44991</v>
      </c>
      <c r="N93" s="11">
        <v>999.95</v>
      </c>
      <c r="O93" s="12" t="str">
        <f t="shared" si="5"/>
        <v>2024-08</v>
      </c>
      <c r="P93" s="12">
        <f t="shared" si="6"/>
        <v>2024</v>
      </c>
      <c r="Q93" s="12">
        <f t="shared" si="7"/>
        <v>1</v>
      </c>
      <c r="R93" s="12" t="str">
        <f t="shared" si="8"/>
        <v>BC</v>
      </c>
      <c r="S93" s="13">
        <f t="shared" ca="1" si="9"/>
        <v>46309.658403472225</v>
      </c>
    </row>
    <row r="94" spans="1:19" ht="15.75" customHeight="1" x14ac:dyDescent="0.3">
      <c r="A94" s="9" t="s">
        <v>241</v>
      </c>
      <c r="B94" s="10">
        <v>45522</v>
      </c>
      <c r="C94" s="9" t="s">
        <v>106</v>
      </c>
      <c r="D94" s="9" t="s">
        <v>107</v>
      </c>
      <c r="E94" s="9" t="s">
        <v>137</v>
      </c>
      <c r="F94" s="9" t="s">
        <v>138</v>
      </c>
      <c r="G94" s="9" t="s">
        <v>39</v>
      </c>
      <c r="H94" s="9">
        <v>2</v>
      </c>
      <c r="I94" s="11">
        <v>89.99</v>
      </c>
      <c r="J94" s="9" t="s">
        <v>40</v>
      </c>
      <c r="K94" s="9" t="s">
        <v>83</v>
      </c>
      <c r="L94" s="9" t="s">
        <v>47</v>
      </c>
      <c r="M94" s="10">
        <v>44972</v>
      </c>
      <c r="N94" s="11">
        <v>179.98</v>
      </c>
      <c r="O94" s="12" t="str">
        <f t="shared" si="5"/>
        <v>2024-08</v>
      </c>
      <c r="P94" s="12">
        <f t="shared" si="6"/>
        <v>2024</v>
      </c>
      <c r="Q94" s="12">
        <f t="shared" si="7"/>
        <v>1</v>
      </c>
      <c r="R94" s="12" t="str">
        <f t="shared" si="8"/>
        <v>MC</v>
      </c>
      <c r="S94" s="13">
        <f t="shared" ca="1" si="9"/>
        <v>46309.658403472225</v>
      </c>
    </row>
    <row r="95" spans="1:19" ht="15.75" customHeight="1" x14ac:dyDescent="0.3">
      <c r="A95" s="9" t="s">
        <v>242</v>
      </c>
      <c r="B95" s="10">
        <v>45523</v>
      </c>
      <c r="C95" s="9" t="s">
        <v>216</v>
      </c>
      <c r="D95" s="9" t="s">
        <v>217</v>
      </c>
      <c r="E95" s="9" t="s">
        <v>81</v>
      </c>
      <c r="F95" s="9" t="s">
        <v>82</v>
      </c>
      <c r="G95" s="9" t="s">
        <v>39</v>
      </c>
      <c r="H95" s="9">
        <v>5</v>
      </c>
      <c r="I95" s="11">
        <v>899.99</v>
      </c>
      <c r="J95" s="9" t="s">
        <v>77</v>
      </c>
      <c r="K95" s="9" t="s">
        <v>83</v>
      </c>
      <c r="L95" s="9" t="s">
        <v>42</v>
      </c>
      <c r="M95" s="10">
        <v>44526</v>
      </c>
      <c r="N95" s="11">
        <v>4499.95</v>
      </c>
      <c r="O95" s="12" t="str">
        <f t="shared" si="5"/>
        <v>2024-08</v>
      </c>
      <c r="P95" s="12">
        <f t="shared" si="6"/>
        <v>2024</v>
      </c>
      <c r="Q95" s="12">
        <f t="shared" si="7"/>
        <v>2</v>
      </c>
      <c r="R95" s="12" t="str">
        <f t="shared" si="8"/>
        <v>GM</v>
      </c>
      <c r="S95" s="13">
        <f t="shared" ca="1" si="9"/>
        <v>46309.658403472225</v>
      </c>
    </row>
    <row r="96" spans="1:19" ht="15.75" customHeight="1" x14ac:dyDescent="0.3">
      <c r="A96" s="9" t="s">
        <v>243</v>
      </c>
      <c r="B96" s="10">
        <v>45523</v>
      </c>
      <c r="C96" s="9" t="s">
        <v>128</v>
      </c>
      <c r="D96" s="9" t="s">
        <v>129</v>
      </c>
      <c r="E96" s="9" t="s">
        <v>72</v>
      </c>
      <c r="F96" s="9" t="s">
        <v>73</v>
      </c>
      <c r="G96" s="9" t="s">
        <v>39</v>
      </c>
      <c r="H96" s="9">
        <v>3</v>
      </c>
      <c r="I96" s="11">
        <v>149.99</v>
      </c>
      <c r="J96" s="9" t="s">
        <v>54</v>
      </c>
      <c r="K96" s="9" t="s">
        <v>83</v>
      </c>
      <c r="L96" s="9" t="s">
        <v>42</v>
      </c>
      <c r="M96" s="10">
        <v>44574</v>
      </c>
      <c r="N96" s="11">
        <v>449.97</v>
      </c>
      <c r="O96" s="12" t="str">
        <f t="shared" si="5"/>
        <v>2024-08</v>
      </c>
      <c r="P96" s="12">
        <f t="shared" si="6"/>
        <v>2024</v>
      </c>
      <c r="Q96" s="12">
        <f t="shared" si="7"/>
        <v>2</v>
      </c>
      <c r="R96" s="12" t="str">
        <f t="shared" si="8"/>
        <v>NC</v>
      </c>
      <c r="S96" s="13">
        <f t="shared" ca="1" si="9"/>
        <v>46309.658403472225</v>
      </c>
    </row>
    <row r="97" spans="1:19" ht="15.75" customHeight="1" x14ac:dyDescent="0.3">
      <c r="A97" s="9" t="s">
        <v>244</v>
      </c>
      <c r="B97" s="10">
        <v>45526</v>
      </c>
      <c r="C97" s="9" t="s">
        <v>122</v>
      </c>
      <c r="D97" s="9" t="s">
        <v>123</v>
      </c>
      <c r="E97" s="9" t="s">
        <v>64</v>
      </c>
      <c r="F97" s="9" t="s">
        <v>65</v>
      </c>
      <c r="G97" s="9" t="s">
        <v>66</v>
      </c>
      <c r="H97" s="9">
        <v>5</v>
      </c>
      <c r="I97" s="11">
        <v>149.99</v>
      </c>
      <c r="J97" s="9" t="s">
        <v>46</v>
      </c>
      <c r="K97" s="9" t="s">
        <v>41</v>
      </c>
      <c r="L97" s="9" t="s">
        <v>42</v>
      </c>
      <c r="M97" s="10">
        <v>45310</v>
      </c>
      <c r="N97" s="11">
        <v>749.95</v>
      </c>
      <c r="O97" s="12" t="str">
        <f t="shared" si="5"/>
        <v>2024-08</v>
      </c>
      <c r="P97" s="12">
        <f t="shared" si="6"/>
        <v>2024</v>
      </c>
      <c r="Q97" s="12">
        <f t="shared" si="7"/>
        <v>0</v>
      </c>
      <c r="R97" s="12" t="str">
        <f t="shared" si="8"/>
        <v>CP</v>
      </c>
      <c r="S97" s="13">
        <f t="shared" ca="1" si="9"/>
        <v>46309.658403472225</v>
      </c>
    </row>
    <row r="98" spans="1:19" ht="15.75" customHeight="1" x14ac:dyDescent="0.3">
      <c r="A98" s="9" t="s">
        <v>245</v>
      </c>
      <c r="B98" s="10">
        <v>45528</v>
      </c>
      <c r="C98" s="9" t="s">
        <v>246</v>
      </c>
      <c r="D98" s="9" t="s">
        <v>247</v>
      </c>
      <c r="E98" s="9" t="s">
        <v>134</v>
      </c>
      <c r="F98" s="9" t="s">
        <v>135</v>
      </c>
      <c r="G98" s="9" t="s">
        <v>53</v>
      </c>
      <c r="H98" s="9">
        <v>3</v>
      </c>
      <c r="I98" s="11">
        <v>79.989999999999995</v>
      </c>
      <c r="J98" s="9" t="s">
        <v>40</v>
      </c>
      <c r="K98" s="9" t="s">
        <v>41</v>
      </c>
      <c r="L98" s="9" t="s">
        <v>47</v>
      </c>
      <c r="M98" s="10">
        <v>44779</v>
      </c>
      <c r="N98" s="11">
        <v>239.97</v>
      </c>
      <c r="O98" s="12" t="str">
        <f t="shared" si="5"/>
        <v>2024-08</v>
      </c>
      <c r="P98" s="12">
        <f t="shared" si="6"/>
        <v>2024</v>
      </c>
      <c r="Q98" s="12">
        <f t="shared" si="7"/>
        <v>2</v>
      </c>
      <c r="R98" s="12" t="str">
        <f t="shared" si="8"/>
        <v>LR</v>
      </c>
      <c r="S98" s="13">
        <f t="shared" ca="1" si="9"/>
        <v>46309.658403472225</v>
      </c>
    </row>
    <row r="99" spans="1:19" ht="15.75" customHeight="1" x14ac:dyDescent="0.3">
      <c r="A99" s="9" t="s">
        <v>248</v>
      </c>
      <c r="B99" s="10">
        <v>45528</v>
      </c>
      <c r="C99" s="9" t="s">
        <v>164</v>
      </c>
      <c r="D99" s="9" t="s">
        <v>165</v>
      </c>
      <c r="E99" s="9" t="s">
        <v>37</v>
      </c>
      <c r="F99" s="9" t="s">
        <v>38</v>
      </c>
      <c r="G99" s="9" t="s">
        <v>39</v>
      </c>
      <c r="H99" s="9">
        <v>2</v>
      </c>
      <c r="I99" s="11">
        <v>249.99</v>
      </c>
      <c r="J99" s="9" t="s">
        <v>40</v>
      </c>
      <c r="K99" s="9" t="s">
        <v>55</v>
      </c>
      <c r="L99" s="9" t="s">
        <v>56</v>
      </c>
      <c r="M99" s="10">
        <v>44572</v>
      </c>
      <c r="N99" s="11">
        <v>499.98</v>
      </c>
      <c r="O99" s="12" t="str">
        <f t="shared" si="5"/>
        <v>2024-08</v>
      </c>
      <c r="P99" s="12">
        <f t="shared" si="6"/>
        <v>2024</v>
      </c>
      <c r="Q99" s="12">
        <f t="shared" si="7"/>
        <v>2</v>
      </c>
      <c r="R99" s="12" t="str">
        <f t="shared" si="8"/>
        <v>HM</v>
      </c>
      <c r="S99" s="13">
        <f t="shared" ca="1" si="9"/>
        <v>46309.658403472225</v>
      </c>
    </row>
    <row r="100" spans="1:19" ht="15.75" customHeight="1" x14ac:dyDescent="0.3">
      <c r="A100" s="9" t="s">
        <v>249</v>
      </c>
      <c r="B100" s="10">
        <v>45532</v>
      </c>
      <c r="C100" s="9" t="s">
        <v>216</v>
      </c>
      <c r="D100" s="9" t="s">
        <v>217</v>
      </c>
      <c r="E100" s="9" t="s">
        <v>100</v>
      </c>
      <c r="F100" s="9" t="s">
        <v>101</v>
      </c>
      <c r="G100" s="9" t="s">
        <v>39</v>
      </c>
      <c r="H100" s="9">
        <v>1</v>
      </c>
      <c r="I100" s="11">
        <v>699.99</v>
      </c>
      <c r="J100" s="9" t="s">
        <v>40</v>
      </c>
      <c r="K100" s="9" t="s">
        <v>41</v>
      </c>
      <c r="L100" s="9" t="s">
        <v>47</v>
      </c>
      <c r="M100" s="10">
        <v>44497</v>
      </c>
      <c r="N100" s="11">
        <v>699.99</v>
      </c>
      <c r="O100" s="12" t="str">
        <f t="shared" si="5"/>
        <v>2024-08</v>
      </c>
      <c r="P100" s="12">
        <f t="shared" si="6"/>
        <v>2024</v>
      </c>
      <c r="Q100" s="12">
        <f t="shared" si="7"/>
        <v>2</v>
      </c>
      <c r="R100" s="12" t="str">
        <f t="shared" si="8"/>
        <v>GM</v>
      </c>
      <c r="S100" s="13">
        <f t="shared" ca="1" si="9"/>
        <v>46309.658403472225</v>
      </c>
    </row>
    <row r="101" spans="1:19" ht="15.75" customHeight="1" x14ac:dyDescent="0.3">
      <c r="A101" s="9" t="s">
        <v>250</v>
      </c>
      <c r="B101" s="10">
        <v>45532</v>
      </c>
      <c r="C101" s="9" t="s">
        <v>251</v>
      </c>
      <c r="D101" s="9" t="s">
        <v>252</v>
      </c>
      <c r="E101" s="9" t="s">
        <v>72</v>
      </c>
      <c r="F101" s="9" t="s">
        <v>73</v>
      </c>
      <c r="G101" s="9" t="s">
        <v>39</v>
      </c>
      <c r="H101" s="9">
        <v>3</v>
      </c>
      <c r="I101" s="11">
        <v>149.99</v>
      </c>
      <c r="J101" s="9" t="s">
        <v>40</v>
      </c>
      <c r="K101" s="9" t="s">
        <v>70</v>
      </c>
      <c r="L101" s="9" t="s">
        <v>47</v>
      </c>
      <c r="M101" s="10">
        <v>45212</v>
      </c>
      <c r="N101" s="11">
        <v>449.97</v>
      </c>
      <c r="O101" s="12" t="str">
        <f t="shared" si="5"/>
        <v>2024-08</v>
      </c>
      <c r="P101" s="12">
        <f t="shared" si="6"/>
        <v>2024</v>
      </c>
      <c r="Q101" s="12">
        <f t="shared" si="7"/>
        <v>0</v>
      </c>
      <c r="R101" s="12" t="str">
        <f t="shared" si="8"/>
        <v>CE</v>
      </c>
      <c r="S101" s="13">
        <f t="shared" ca="1" si="9"/>
        <v>46309.658403472225</v>
      </c>
    </row>
    <row r="102" spans="1:19" ht="15.75" customHeight="1" x14ac:dyDescent="0.3">
      <c r="A102" s="9" t="s">
        <v>253</v>
      </c>
      <c r="B102" s="10">
        <v>45534</v>
      </c>
      <c r="C102" s="9" t="s">
        <v>254</v>
      </c>
      <c r="D102" s="9" t="s">
        <v>255</v>
      </c>
      <c r="E102" s="9" t="s">
        <v>100</v>
      </c>
      <c r="F102" s="9" t="s">
        <v>101</v>
      </c>
      <c r="G102" s="9" t="s">
        <v>39</v>
      </c>
      <c r="H102" s="9">
        <v>2</v>
      </c>
      <c r="I102" s="11">
        <v>699.99</v>
      </c>
      <c r="J102" s="9" t="s">
        <v>46</v>
      </c>
      <c r="K102" s="9" t="s">
        <v>60</v>
      </c>
      <c r="L102" s="9" t="s">
        <v>47</v>
      </c>
      <c r="M102" s="10">
        <v>44421</v>
      </c>
      <c r="N102" s="11">
        <v>1399.98</v>
      </c>
      <c r="O102" s="12" t="str">
        <f t="shared" si="5"/>
        <v>2024-08</v>
      </c>
      <c r="P102" s="12">
        <f t="shared" si="6"/>
        <v>2024</v>
      </c>
      <c r="Q102" s="12">
        <f t="shared" si="7"/>
        <v>3</v>
      </c>
      <c r="R102" s="12" t="str">
        <f t="shared" si="8"/>
        <v>SP</v>
      </c>
      <c r="S102" s="13">
        <f t="shared" ca="1" si="9"/>
        <v>46309.658403472225</v>
      </c>
    </row>
    <row r="103" spans="1:19" ht="15.75" customHeight="1" x14ac:dyDescent="0.3">
      <c r="A103" s="9" t="s">
        <v>256</v>
      </c>
      <c r="B103" s="10">
        <v>45537</v>
      </c>
      <c r="C103" s="9" t="s">
        <v>251</v>
      </c>
      <c r="D103" s="9" t="s">
        <v>252</v>
      </c>
      <c r="E103" s="9" t="s">
        <v>37</v>
      </c>
      <c r="F103" s="9" t="s">
        <v>38</v>
      </c>
      <c r="G103" s="9" t="s">
        <v>39</v>
      </c>
      <c r="H103" s="9">
        <v>1</v>
      </c>
      <c r="I103" s="11">
        <v>249.99</v>
      </c>
      <c r="J103" s="9" t="s">
        <v>46</v>
      </c>
      <c r="K103" s="9" t="s">
        <v>70</v>
      </c>
      <c r="L103" s="9" t="s">
        <v>47</v>
      </c>
      <c r="M103" s="10">
        <v>44685</v>
      </c>
      <c r="N103" s="11">
        <v>249.99</v>
      </c>
      <c r="O103" s="12" t="str">
        <f t="shared" si="5"/>
        <v>2024-09</v>
      </c>
      <c r="P103" s="12">
        <f t="shared" si="6"/>
        <v>2024</v>
      </c>
      <c r="Q103" s="12">
        <f t="shared" si="7"/>
        <v>2</v>
      </c>
      <c r="R103" s="12" t="str">
        <f t="shared" si="8"/>
        <v>CE</v>
      </c>
      <c r="S103" s="13">
        <f t="shared" ca="1" si="9"/>
        <v>46309.658403472225</v>
      </c>
    </row>
    <row r="104" spans="1:19" ht="15.75" customHeight="1" x14ac:dyDescent="0.3">
      <c r="A104" s="9" t="s">
        <v>257</v>
      </c>
      <c r="B104" s="10">
        <v>45537</v>
      </c>
      <c r="C104" s="9" t="s">
        <v>35</v>
      </c>
      <c r="D104" s="9" t="s">
        <v>36</v>
      </c>
      <c r="E104" s="9" t="s">
        <v>37</v>
      </c>
      <c r="F104" s="9" t="s">
        <v>38</v>
      </c>
      <c r="G104" s="9" t="s">
        <v>39</v>
      </c>
      <c r="H104" s="9">
        <v>1</v>
      </c>
      <c r="I104" s="11">
        <v>249.99</v>
      </c>
      <c r="J104" s="9" t="s">
        <v>77</v>
      </c>
      <c r="K104" s="9" t="s">
        <v>60</v>
      </c>
      <c r="L104" s="9" t="s">
        <v>47</v>
      </c>
      <c r="M104" s="10">
        <v>45332</v>
      </c>
      <c r="N104" s="11">
        <v>249.99</v>
      </c>
      <c r="O104" s="12" t="str">
        <f t="shared" si="5"/>
        <v>2024-09</v>
      </c>
      <c r="P104" s="12">
        <f t="shared" si="6"/>
        <v>2024</v>
      </c>
      <c r="Q104" s="12">
        <f t="shared" si="7"/>
        <v>0</v>
      </c>
      <c r="R104" s="12" t="str">
        <f t="shared" si="8"/>
        <v>PB</v>
      </c>
      <c r="S104" s="13">
        <f t="shared" ca="1" si="9"/>
        <v>46309.658403472225</v>
      </c>
    </row>
    <row r="105" spans="1:19" ht="15.75" customHeight="1" x14ac:dyDescent="0.3">
      <c r="A105" s="9" t="s">
        <v>258</v>
      </c>
      <c r="B105" s="10">
        <v>45538</v>
      </c>
      <c r="C105" s="9" t="s">
        <v>246</v>
      </c>
      <c r="D105" s="9" t="s">
        <v>247</v>
      </c>
      <c r="E105" s="9" t="s">
        <v>100</v>
      </c>
      <c r="F105" s="9" t="s">
        <v>101</v>
      </c>
      <c r="G105" s="9" t="s">
        <v>39</v>
      </c>
      <c r="H105" s="9">
        <v>2</v>
      </c>
      <c r="I105" s="11">
        <v>699.99</v>
      </c>
      <c r="J105" s="9" t="s">
        <v>77</v>
      </c>
      <c r="K105" s="9" t="s">
        <v>41</v>
      </c>
      <c r="L105" s="9" t="s">
        <v>47</v>
      </c>
      <c r="M105" s="10">
        <v>44870</v>
      </c>
      <c r="N105" s="11">
        <v>1399.98</v>
      </c>
      <c r="O105" s="12" t="str">
        <f t="shared" si="5"/>
        <v>2024-09</v>
      </c>
      <c r="P105" s="12">
        <f t="shared" si="6"/>
        <v>2024</v>
      </c>
      <c r="Q105" s="12">
        <f t="shared" si="7"/>
        <v>1</v>
      </c>
      <c r="R105" s="12" t="str">
        <f t="shared" si="8"/>
        <v>LR</v>
      </c>
      <c r="S105" s="13">
        <f t="shared" ca="1" si="9"/>
        <v>46309.658403472225</v>
      </c>
    </row>
    <row r="106" spans="1:19" ht="15.75" customHeight="1" x14ac:dyDescent="0.3">
      <c r="A106" s="9" t="s">
        <v>259</v>
      </c>
      <c r="B106" s="10">
        <v>45541</v>
      </c>
      <c r="C106" s="9" t="s">
        <v>158</v>
      </c>
      <c r="D106" s="9" t="s">
        <v>159</v>
      </c>
      <c r="E106" s="9" t="s">
        <v>51</v>
      </c>
      <c r="F106" s="9" t="s">
        <v>52</v>
      </c>
      <c r="G106" s="9" t="s">
        <v>53</v>
      </c>
      <c r="H106" s="9">
        <v>3</v>
      </c>
      <c r="I106" s="11">
        <v>59.99</v>
      </c>
      <c r="J106" s="9" t="s">
        <v>46</v>
      </c>
      <c r="K106" s="9" t="s">
        <v>41</v>
      </c>
      <c r="L106" s="9" t="s">
        <v>47</v>
      </c>
      <c r="M106" s="10">
        <v>44717</v>
      </c>
      <c r="N106" s="11">
        <v>179.97</v>
      </c>
      <c r="O106" s="12" t="str">
        <f t="shared" si="5"/>
        <v>2024-09</v>
      </c>
      <c r="P106" s="12">
        <f t="shared" si="6"/>
        <v>2024</v>
      </c>
      <c r="Q106" s="12">
        <f t="shared" si="7"/>
        <v>2</v>
      </c>
      <c r="R106" s="12" t="str">
        <f t="shared" si="8"/>
        <v>ST</v>
      </c>
      <c r="S106" s="13">
        <f t="shared" ca="1" si="9"/>
        <v>46309.658403472225</v>
      </c>
    </row>
    <row r="107" spans="1:19" ht="15.75" customHeight="1" x14ac:dyDescent="0.3">
      <c r="A107" s="9" t="s">
        <v>260</v>
      </c>
      <c r="B107" s="10">
        <v>45544</v>
      </c>
      <c r="C107" s="9" t="s">
        <v>152</v>
      </c>
      <c r="D107" s="9" t="s">
        <v>153</v>
      </c>
      <c r="E107" s="9" t="s">
        <v>51</v>
      </c>
      <c r="F107" s="9" t="s">
        <v>52</v>
      </c>
      <c r="G107" s="9" t="s">
        <v>53</v>
      </c>
      <c r="H107" s="9">
        <v>3</v>
      </c>
      <c r="I107" s="11">
        <v>59.99</v>
      </c>
      <c r="J107" s="9" t="s">
        <v>54</v>
      </c>
      <c r="K107" s="9" t="s">
        <v>83</v>
      </c>
      <c r="L107" s="9" t="s">
        <v>56</v>
      </c>
      <c r="M107" s="10">
        <v>44748</v>
      </c>
      <c r="N107" s="11">
        <v>179.97</v>
      </c>
      <c r="O107" s="12" t="str">
        <f t="shared" si="5"/>
        <v>2024-09</v>
      </c>
      <c r="P107" s="12">
        <f t="shared" si="6"/>
        <v>2024</v>
      </c>
      <c r="Q107" s="12">
        <f t="shared" si="7"/>
        <v>2</v>
      </c>
      <c r="R107" s="12" t="str">
        <f t="shared" si="8"/>
        <v>EW</v>
      </c>
      <c r="S107" s="13">
        <f t="shared" ca="1" si="9"/>
        <v>46309.658403472225</v>
      </c>
    </row>
    <row r="108" spans="1:19" ht="15.75" customHeight="1" x14ac:dyDescent="0.3">
      <c r="A108" s="9" t="s">
        <v>261</v>
      </c>
      <c r="B108" s="10">
        <v>45544</v>
      </c>
      <c r="C108" s="9" t="s">
        <v>161</v>
      </c>
      <c r="D108" s="9" t="s">
        <v>162</v>
      </c>
      <c r="E108" s="9" t="s">
        <v>134</v>
      </c>
      <c r="F108" s="9" t="s">
        <v>135</v>
      </c>
      <c r="G108" s="9" t="s">
        <v>53</v>
      </c>
      <c r="H108" s="9">
        <v>4</v>
      </c>
      <c r="I108" s="11">
        <v>79.989999999999995</v>
      </c>
      <c r="J108" s="9" t="s">
        <v>40</v>
      </c>
      <c r="K108" s="9" t="s">
        <v>60</v>
      </c>
      <c r="L108" s="9" t="s">
        <v>42</v>
      </c>
      <c r="M108" s="10">
        <v>44530</v>
      </c>
      <c r="N108" s="11">
        <v>319.95999999999998</v>
      </c>
      <c r="O108" s="12" t="str">
        <f t="shared" si="5"/>
        <v>2024-09</v>
      </c>
      <c r="P108" s="12">
        <f t="shared" si="6"/>
        <v>2024</v>
      </c>
      <c r="Q108" s="12">
        <f t="shared" si="7"/>
        <v>2</v>
      </c>
      <c r="R108" s="12" t="str">
        <f t="shared" si="8"/>
        <v>JT</v>
      </c>
      <c r="S108" s="13">
        <f t="shared" ca="1" si="9"/>
        <v>46309.658403472225</v>
      </c>
    </row>
    <row r="109" spans="1:19" ht="15.75" customHeight="1" x14ac:dyDescent="0.3">
      <c r="A109" s="9" t="s">
        <v>262</v>
      </c>
      <c r="B109" s="10">
        <v>45545</v>
      </c>
      <c r="C109" s="9" t="s">
        <v>75</v>
      </c>
      <c r="D109" s="9" t="s">
        <v>76</v>
      </c>
      <c r="E109" s="9" t="s">
        <v>134</v>
      </c>
      <c r="F109" s="9" t="s">
        <v>135</v>
      </c>
      <c r="G109" s="9" t="s">
        <v>53</v>
      </c>
      <c r="H109" s="9">
        <v>1</v>
      </c>
      <c r="I109" s="11">
        <v>79.989999999999995</v>
      </c>
      <c r="J109" s="9" t="s">
        <v>40</v>
      </c>
      <c r="K109" s="9" t="s">
        <v>70</v>
      </c>
      <c r="L109" s="9" t="s">
        <v>42</v>
      </c>
      <c r="M109" s="10">
        <v>44693</v>
      </c>
      <c r="N109" s="11">
        <v>79.989999999999995</v>
      </c>
      <c r="O109" s="12" t="str">
        <f t="shared" si="5"/>
        <v>2024-09</v>
      </c>
      <c r="P109" s="12">
        <f t="shared" si="6"/>
        <v>2024</v>
      </c>
      <c r="Q109" s="12">
        <f t="shared" si="7"/>
        <v>2</v>
      </c>
      <c r="R109" s="12" t="str">
        <f t="shared" si="8"/>
        <v>CA</v>
      </c>
      <c r="S109" s="13">
        <f t="shared" ca="1" si="9"/>
        <v>46309.658403472225</v>
      </c>
    </row>
    <row r="110" spans="1:19" ht="15.75" customHeight="1" x14ac:dyDescent="0.3">
      <c r="A110" s="9" t="s">
        <v>263</v>
      </c>
      <c r="B110" s="10">
        <v>45547</v>
      </c>
      <c r="C110" s="9" t="s">
        <v>68</v>
      </c>
      <c r="D110" s="9" t="s">
        <v>69</v>
      </c>
      <c r="E110" s="9" t="s">
        <v>125</v>
      </c>
      <c r="F110" s="9" t="s">
        <v>126</v>
      </c>
      <c r="G110" s="9" t="s">
        <v>66</v>
      </c>
      <c r="H110" s="9">
        <v>3</v>
      </c>
      <c r="I110" s="11">
        <v>299.99</v>
      </c>
      <c r="J110" s="9" t="s">
        <v>46</v>
      </c>
      <c r="K110" s="9" t="s">
        <v>41</v>
      </c>
      <c r="L110" s="9" t="s">
        <v>47</v>
      </c>
      <c r="M110" s="10">
        <v>44494</v>
      </c>
      <c r="N110" s="11">
        <v>899.97</v>
      </c>
      <c r="O110" s="12" t="str">
        <f t="shared" si="5"/>
        <v>2024-09</v>
      </c>
      <c r="P110" s="12">
        <f t="shared" si="6"/>
        <v>2024</v>
      </c>
      <c r="Q110" s="12">
        <f t="shared" si="7"/>
        <v>2</v>
      </c>
      <c r="R110" s="12" t="str">
        <f t="shared" si="8"/>
        <v>DN</v>
      </c>
      <c r="S110" s="13">
        <f t="shared" ca="1" si="9"/>
        <v>46309.658403472225</v>
      </c>
    </row>
    <row r="111" spans="1:19" ht="15.75" customHeight="1" x14ac:dyDescent="0.3">
      <c r="A111" s="9" t="s">
        <v>264</v>
      </c>
      <c r="B111" s="10">
        <v>45548</v>
      </c>
      <c r="C111" s="9" t="s">
        <v>58</v>
      </c>
      <c r="D111" s="9" t="s">
        <v>59</v>
      </c>
      <c r="E111" s="9" t="s">
        <v>137</v>
      </c>
      <c r="F111" s="9" t="s">
        <v>138</v>
      </c>
      <c r="G111" s="9" t="s">
        <v>39</v>
      </c>
      <c r="H111" s="9">
        <v>2</v>
      </c>
      <c r="I111" s="11">
        <v>89.99</v>
      </c>
      <c r="J111" s="9" t="s">
        <v>46</v>
      </c>
      <c r="K111" s="9" t="s">
        <v>55</v>
      </c>
      <c r="L111" s="9" t="s">
        <v>47</v>
      </c>
      <c r="M111" s="10">
        <v>44641</v>
      </c>
      <c r="N111" s="11">
        <v>179.98</v>
      </c>
      <c r="O111" s="12" t="str">
        <f t="shared" si="5"/>
        <v>2024-09</v>
      </c>
      <c r="P111" s="12">
        <f t="shared" si="6"/>
        <v>2024</v>
      </c>
      <c r="Q111" s="12">
        <f t="shared" si="7"/>
        <v>2</v>
      </c>
      <c r="R111" s="12" t="str">
        <f t="shared" si="8"/>
        <v>KB</v>
      </c>
      <c r="S111" s="13">
        <f t="shared" ca="1" si="9"/>
        <v>46309.658403472225</v>
      </c>
    </row>
    <row r="112" spans="1:19" ht="15.75" customHeight="1" x14ac:dyDescent="0.3">
      <c r="A112" s="9" t="s">
        <v>265</v>
      </c>
      <c r="B112" s="10">
        <v>45550</v>
      </c>
      <c r="C112" s="9" t="s">
        <v>266</v>
      </c>
      <c r="D112" s="9" t="s">
        <v>267</v>
      </c>
      <c r="E112" s="9" t="s">
        <v>72</v>
      </c>
      <c r="F112" s="9" t="s">
        <v>73</v>
      </c>
      <c r="G112" s="9" t="s">
        <v>39</v>
      </c>
      <c r="H112" s="9">
        <v>4</v>
      </c>
      <c r="I112" s="11">
        <v>149.99</v>
      </c>
      <c r="J112" s="9" t="s">
        <v>40</v>
      </c>
      <c r="K112" s="9" t="s">
        <v>60</v>
      </c>
      <c r="L112" s="9" t="s">
        <v>42</v>
      </c>
      <c r="M112" s="10">
        <v>44909</v>
      </c>
      <c r="N112" s="11">
        <v>599.96</v>
      </c>
      <c r="O112" s="12" t="str">
        <f t="shared" si="5"/>
        <v>2024-09</v>
      </c>
      <c r="P112" s="12">
        <f t="shared" si="6"/>
        <v>2024</v>
      </c>
      <c r="Q112" s="12">
        <f t="shared" si="7"/>
        <v>1</v>
      </c>
      <c r="R112" s="12" t="str">
        <f t="shared" si="8"/>
        <v>RB</v>
      </c>
      <c r="S112" s="13">
        <f t="shared" ca="1" si="9"/>
        <v>46309.658403472225</v>
      </c>
    </row>
    <row r="113" spans="1:19" ht="15.75" customHeight="1" x14ac:dyDescent="0.3">
      <c r="A113" s="9" t="s">
        <v>268</v>
      </c>
      <c r="B113" s="10">
        <v>45551</v>
      </c>
      <c r="C113" s="9" t="s">
        <v>85</v>
      </c>
      <c r="D113" s="9" t="s">
        <v>86</v>
      </c>
      <c r="E113" s="9" t="s">
        <v>37</v>
      </c>
      <c r="F113" s="9" t="s">
        <v>38</v>
      </c>
      <c r="G113" s="9" t="s">
        <v>39</v>
      </c>
      <c r="H113" s="9">
        <v>2</v>
      </c>
      <c r="I113" s="11">
        <v>249.99</v>
      </c>
      <c r="J113" s="9" t="s">
        <v>54</v>
      </c>
      <c r="K113" s="9" t="s">
        <v>55</v>
      </c>
      <c r="L113" s="9" t="s">
        <v>42</v>
      </c>
      <c r="M113" s="10">
        <v>44993</v>
      </c>
      <c r="N113" s="11">
        <v>499.98</v>
      </c>
      <c r="O113" s="12" t="str">
        <f t="shared" si="5"/>
        <v>2024-09</v>
      </c>
      <c r="P113" s="12">
        <f t="shared" si="6"/>
        <v>2024</v>
      </c>
      <c r="Q113" s="12">
        <f t="shared" si="7"/>
        <v>1</v>
      </c>
      <c r="R113" s="12" t="str">
        <f t="shared" si="8"/>
        <v>KH</v>
      </c>
      <c r="S113" s="13">
        <f t="shared" ca="1" si="9"/>
        <v>46309.658403472225</v>
      </c>
    </row>
    <row r="114" spans="1:19" ht="15.75" customHeight="1" x14ac:dyDescent="0.3">
      <c r="A114" s="9" t="s">
        <v>269</v>
      </c>
      <c r="B114" s="10">
        <v>45551</v>
      </c>
      <c r="C114" s="9" t="s">
        <v>174</v>
      </c>
      <c r="D114" s="9" t="s">
        <v>175</v>
      </c>
      <c r="E114" s="9" t="s">
        <v>146</v>
      </c>
      <c r="F114" s="9" t="s">
        <v>147</v>
      </c>
      <c r="G114" s="9" t="s">
        <v>66</v>
      </c>
      <c r="H114" s="9">
        <v>4</v>
      </c>
      <c r="I114" s="11">
        <v>199.99</v>
      </c>
      <c r="J114" s="9" t="s">
        <v>77</v>
      </c>
      <c r="K114" s="9" t="s">
        <v>83</v>
      </c>
      <c r="L114" s="9" t="s">
        <v>42</v>
      </c>
      <c r="M114" s="10">
        <v>44458</v>
      </c>
      <c r="N114" s="11">
        <v>799.96</v>
      </c>
      <c r="O114" s="12" t="str">
        <f t="shared" si="5"/>
        <v>2024-09</v>
      </c>
      <c r="P114" s="12">
        <f t="shared" si="6"/>
        <v>2024</v>
      </c>
      <c r="Q114" s="12">
        <f t="shared" si="7"/>
        <v>2</v>
      </c>
      <c r="R114" s="12" t="str">
        <f t="shared" si="8"/>
        <v>SD</v>
      </c>
      <c r="S114" s="13">
        <f t="shared" ca="1" si="9"/>
        <v>46309.658403472225</v>
      </c>
    </row>
    <row r="115" spans="1:19" ht="15.75" customHeight="1" x14ac:dyDescent="0.3">
      <c r="A115" s="9" t="s">
        <v>270</v>
      </c>
      <c r="B115" s="10">
        <v>45554</v>
      </c>
      <c r="C115" s="9" t="s">
        <v>167</v>
      </c>
      <c r="D115" s="9" t="s">
        <v>168</v>
      </c>
      <c r="E115" s="9" t="s">
        <v>137</v>
      </c>
      <c r="F115" s="9" t="s">
        <v>138</v>
      </c>
      <c r="G115" s="9" t="s">
        <v>39</v>
      </c>
      <c r="H115" s="9">
        <v>5</v>
      </c>
      <c r="I115" s="11">
        <v>89.99</v>
      </c>
      <c r="J115" s="9" t="s">
        <v>46</v>
      </c>
      <c r="K115" s="9" t="s">
        <v>83</v>
      </c>
      <c r="L115" s="9" t="s">
        <v>47</v>
      </c>
      <c r="M115" s="10">
        <v>44446</v>
      </c>
      <c r="N115" s="11">
        <v>449.95</v>
      </c>
      <c r="O115" s="12" t="str">
        <f t="shared" si="5"/>
        <v>2024-09</v>
      </c>
      <c r="P115" s="12">
        <f t="shared" si="6"/>
        <v>2024</v>
      </c>
      <c r="Q115" s="12">
        <f t="shared" si="7"/>
        <v>3</v>
      </c>
      <c r="R115" s="12" t="str">
        <f t="shared" si="8"/>
        <v>DK</v>
      </c>
      <c r="S115" s="13">
        <f t="shared" ca="1" si="9"/>
        <v>46309.658403472225</v>
      </c>
    </row>
    <row r="116" spans="1:19" ht="15.75" customHeight="1" x14ac:dyDescent="0.3">
      <c r="A116" s="9" t="s">
        <v>271</v>
      </c>
      <c r="B116" s="10">
        <v>45554</v>
      </c>
      <c r="C116" s="9" t="s">
        <v>272</v>
      </c>
      <c r="D116" s="9" t="s">
        <v>273</v>
      </c>
      <c r="E116" s="9" t="s">
        <v>72</v>
      </c>
      <c r="F116" s="9" t="s">
        <v>73</v>
      </c>
      <c r="G116" s="9" t="s">
        <v>39</v>
      </c>
      <c r="H116" s="9">
        <v>1</v>
      </c>
      <c r="I116" s="11">
        <v>149.99</v>
      </c>
      <c r="J116" s="9" t="s">
        <v>54</v>
      </c>
      <c r="K116" s="9" t="s">
        <v>83</v>
      </c>
      <c r="L116" s="9" t="s">
        <v>56</v>
      </c>
      <c r="M116" s="10">
        <v>44482</v>
      </c>
      <c r="N116" s="11">
        <v>149.99</v>
      </c>
      <c r="O116" s="12" t="str">
        <f t="shared" si="5"/>
        <v>2024-09</v>
      </c>
      <c r="P116" s="12">
        <f t="shared" si="6"/>
        <v>2024</v>
      </c>
      <c r="Q116" s="12">
        <f t="shared" si="7"/>
        <v>2</v>
      </c>
      <c r="R116" s="12" t="str">
        <f t="shared" si="8"/>
        <v>WW</v>
      </c>
      <c r="S116" s="13">
        <f t="shared" ca="1" si="9"/>
        <v>46309.658403472225</v>
      </c>
    </row>
    <row r="117" spans="1:19" ht="15.75" customHeight="1" x14ac:dyDescent="0.3">
      <c r="A117" s="9" t="s">
        <v>274</v>
      </c>
      <c r="B117" s="10">
        <v>45554</v>
      </c>
      <c r="C117" s="9" t="s">
        <v>92</v>
      </c>
      <c r="D117" s="9" t="s">
        <v>93</v>
      </c>
      <c r="E117" s="9" t="s">
        <v>100</v>
      </c>
      <c r="F117" s="9" t="s">
        <v>101</v>
      </c>
      <c r="G117" s="9" t="s">
        <v>39</v>
      </c>
      <c r="H117" s="9">
        <v>4</v>
      </c>
      <c r="I117" s="11">
        <v>699.99</v>
      </c>
      <c r="J117" s="9" t="s">
        <v>54</v>
      </c>
      <c r="K117" s="9" t="s">
        <v>55</v>
      </c>
      <c r="L117" s="9" t="s">
        <v>42</v>
      </c>
      <c r="M117" s="10">
        <v>44618</v>
      </c>
      <c r="N117" s="11">
        <v>2799.96</v>
      </c>
      <c r="O117" s="12" t="str">
        <f t="shared" si="5"/>
        <v>2024-09</v>
      </c>
      <c r="P117" s="12">
        <f t="shared" si="6"/>
        <v>2024</v>
      </c>
      <c r="Q117" s="12">
        <f t="shared" si="7"/>
        <v>2</v>
      </c>
      <c r="R117" s="12" t="str">
        <f t="shared" si="8"/>
        <v>PR</v>
      </c>
      <c r="S117" s="13">
        <f t="shared" ca="1" si="9"/>
        <v>46309.658403472225</v>
      </c>
    </row>
    <row r="118" spans="1:19" ht="15.75" customHeight="1" x14ac:dyDescent="0.3">
      <c r="A118" s="9" t="s">
        <v>275</v>
      </c>
      <c r="B118" s="10">
        <v>45559</v>
      </c>
      <c r="C118" s="9" t="s">
        <v>254</v>
      </c>
      <c r="D118" s="9" t="s">
        <v>255</v>
      </c>
      <c r="E118" s="9" t="s">
        <v>81</v>
      </c>
      <c r="F118" s="9" t="s">
        <v>82</v>
      </c>
      <c r="G118" s="9" t="s">
        <v>39</v>
      </c>
      <c r="H118" s="9">
        <v>3</v>
      </c>
      <c r="I118" s="11">
        <v>899.99</v>
      </c>
      <c r="J118" s="9" t="s">
        <v>46</v>
      </c>
      <c r="K118" s="9" t="s">
        <v>60</v>
      </c>
      <c r="L118" s="9" t="s">
        <v>56</v>
      </c>
      <c r="M118" s="10">
        <v>45157</v>
      </c>
      <c r="N118" s="11">
        <v>2699.97</v>
      </c>
      <c r="O118" s="12" t="str">
        <f t="shared" si="5"/>
        <v>2024-09</v>
      </c>
      <c r="P118" s="12">
        <f t="shared" si="6"/>
        <v>2024</v>
      </c>
      <c r="Q118" s="12">
        <f t="shared" si="7"/>
        <v>1</v>
      </c>
      <c r="R118" s="12" t="str">
        <f t="shared" si="8"/>
        <v>SP</v>
      </c>
      <c r="S118" s="13">
        <f t="shared" ca="1" si="9"/>
        <v>46309.658403472225</v>
      </c>
    </row>
    <row r="119" spans="1:19" ht="15.75" customHeight="1" x14ac:dyDescent="0.3">
      <c r="A119" s="9" t="s">
        <v>276</v>
      </c>
      <c r="B119" s="10">
        <v>45560</v>
      </c>
      <c r="C119" s="9" t="s">
        <v>132</v>
      </c>
      <c r="D119" s="9" t="s">
        <v>133</v>
      </c>
      <c r="E119" s="9" t="s">
        <v>64</v>
      </c>
      <c r="F119" s="9" t="s">
        <v>65</v>
      </c>
      <c r="G119" s="9" t="s">
        <v>66</v>
      </c>
      <c r="H119" s="9">
        <v>3</v>
      </c>
      <c r="I119" s="11">
        <v>149.99</v>
      </c>
      <c r="J119" s="9" t="s">
        <v>54</v>
      </c>
      <c r="K119" s="9" t="s">
        <v>83</v>
      </c>
      <c r="L119" s="9" t="s">
        <v>42</v>
      </c>
      <c r="M119" s="10">
        <v>44886</v>
      </c>
      <c r="N119" s="11">
        <v>449.97</v>
      </c>
      <c r="O119" s="12" t="str">
        <f t="shared" si="5"/>
        <v>2024-09</v>
      </c>
      <c r="P119" s="12">
        <f t="shared" si="6"/>
        <v>2024</v>
      </c>
      <c r="Q119" s="12">
        <f t="shared" si="7"/>
        <v>1</v>
      </c>
      <c r="R119" s="12" t="str">
        <f t="shared" si="8"/>
        <v>LM</v>
      </c>
      <c r="S119" s="13">
        <f t="shared" ca="1" si="9"/>
        <v>46309.658403472225</v>
      </c>
    </row>
    <row r="120" spans="1:19" ht="15.75" customHeight="1" x14ac:dyDescent="0.3">
      <c r="A120" s="9" t="s">
        <v>277</v>
      </c>
      <c r="B120" s="10">
        <v>45563</v>
      </c>
      <c r="C120" s="9" t="s">
        <v>119</v>
      </c>
      <c r="D120" s="9" t="s">
        <v>120</v>
      </c>
      <c r="E120" s="9" t="s">
        <v>125</v>
      </c>
      <c r="F120" s="9" t="s">
        <v>126</v>
      </c>
      <c r="G120" s="9" t="s">
        <v>66</v>
      </c>
      <c r="H120" s="9">
        <v>2</v>
      </c>
      <c r="I120" s="11">
        <v>299.99</v>
      </c>
      <c r="J120" s="9" t="s">
        <v>77</v>
      </c>
      <c r="K120" s="9" t="s">
        <v>41</v>
      </c>
      <c r="L120" s="9" t="s">
        <v>42</v>
      </c>
      <c r="M120" s="10">
        <v>44569</v>
      </c>
      <c r="N120" s="11">
        <v>599.98</v>
      </c>
      <c r="O120" s="12" t="str">
        <f t="shared" si="5"/>
        <v>2024-09</v>
      </c>
      <c r="P120" s="12">
        <f t="shared" si="6"/>
        <v>2024</v>
      </c>
      <c r="Q120" s="12">
        <f t="shared" si="7"/>
        <v>2</v>
      </c>
      <c r="R120" s="12" t="str">
        <f t="shared" si="8"/>
        <v>PM</v>
      </c>
      <c r="S120" s="13">
        <f t="shared" ca="1" si="9"/>
        <v>46309.658403472225</v>
      </c>
    </row>
    <row r="121" spans="1:19" ht="15.75" customHeight="1" x14ac:dyDescent="0.3">
      <c r="A121" s="9" t="s">
        <v>278</v>
      </c>
      <c r="B121" s="10">
        <v>45564</v>
      </c>
      <c r="C121" s="9" t="s">
        <v>279</v>
      </c>
      <c r="D121" s="9" t="s">
        <v>280</v>
      </c>
      <c r="E121" s="9" t="s">
        <v>146</v>
      </c>
      <c r="F121" s="9" t="s">
        <v>147</v>
      </c>
      <c r="G121" s="9" t="s">
        <v>66</v>
      </c>
      <c r="H121" s="9">
        <v>1</v>
      </c>
      <c r="I121" s="11">
        <v>199.99</v>
      </c>
      <c r="J121" s="9" t="s">
        <v>77</v>
      </c>
      <c r="K121" s="9" t="s">
        <v>83</v>
      </c>
      <c r="L121" s="9" t="s">
        <v>56</v>
      </c>
      <c r="M121" s="10">
        <v>44953</v>
      </c>
      <c r="N121" s="11">
        <v>199.99</v>
      </c>
      <c r="O121" s="12" t="str">
        <f t="shared" si="5"/>
        <v>2024-09</v>
      </c>
      <c r="P121" s="12">
        <f t="shared" si="6"/>
        <v>2024</v>
      </c>
      <c r="Q121" s="12">
        <f t="shared" si="7"/>
        <v>1</v>
      </c>
      <c r="R121" s="12" t="str">
        <f t="shared" si="8"/>
        <v>RL</v>
      </c>
      <c r="S121" s="13">
        <f t="shared" ca="1" si="9"/>
        <v>46309.658403472225</v>
      </c>
    </row>
    <row r="122" spans="1:19" ht="15.75" customHeight="1" x14ac:dyDescent="0.3">
      <c r="A122" s="9" t="s">
        <v>281</v>
      </c>
      <c r="B122" s="10">
        <v>45566</v>
      </c>
      <c r="C122" s="9" t="s">
        <v>62</v>
      </c>
      <c r="D122" s="9" t="s">
        <v>63</v>
      </c>
      <c r="E122" s="9" t="s">
        <v>125</v>
      </c>
      <c r="F122" s="9" t="s">
        <v>126</v>
      </c>
      <c r="G122" s="9" t="s">
        <v>66</v>
      </c>
      <c r="H122" s="9">
        <v>4</v>
      </c>
      <c r="I122" s="11">
        <v>299.99</v>
      </c>
      <c r="J122" s="9" t="s">
        <v>40</v>
      </c>
      <c r="K122" s="9" t="s">
        <v>41</v>
      </c>
      <c r="L122" s="9" t="s">
        <v>47</v>
      </c>
      <c r="M122" s="10">
        <v>44460</v>
      </c>
      <c r="N122" s="11">
        <v>1199.96</v>
      </c>
      <c r="O122" s="12" t="str">
        <f t="shared" si="5"/>
        <v>2024-10</v>
      </c>
      <c r="P122" s="12">
        <f t="shared" si="6"/>
        <v>2024</v>
      </c>
      <c r="Q122" s="12">
        <f t="shared" si="7"/>
        <v>3</v>
      </c>
      <c r="R122" s="12" t="str">
        <f t="shared" si="8"/>
        <v>MB</v>
      </c>
      <c r="S122" s="13">
        <f t="shared" ca="1" si="9"/>
        <v>46309.658403472225</v>
      </c>
    </row>
    <row r="123" spans="1:19" ht="15.75" customHeight="1" x14ac:dyDescent="0.3">
      <c r="A123" s="9" t="s">
        <v>282</v>
      </c>
      <c r="B123" s="10">
        <v>45572</v>
      </c>
      <c r="C123" s="9" t="s">
        <v>109</v>
      </c>
      <c r="D123" s="9" t="s">
        <v>110</v>
      </c>
      <c r="E123" s="9" t="s">
        <v>51</v>
      </c>
      <c r="F123" s="9" t="s">
        <v>52</v>
      </c>
      <c r="G123" s="9" t="s">
        <v>53</v>
      </c>
      <c r="H123" s="9">
        <v>2</v>
      </c>
      <c r="I123" s="11">
        <v>59.99</v>
      </c>
      <c r="J123" s="9" t="s">
        <v>46</v>
      </c>
      <c r="K123" s="9" t="s">
        <v>41</v>
      </c>
      <c r="L123" s="9" t="s">
        <v>42</v>
      </c>
      <c r="M123" s="10">
        <v>44579</v>
      </c>
      <c r="N123" s="11">
        <v>119.98</v>
      </c>
      <c r="O123" s="12" t="str">
        <f t="shared" si="5"/>
        <v>2024-10</v>
      </c>
      <c r="P123" s="12">
        <f t="shared" si="6"/>
        <v>2024</v>
      </c>
      <c r="Q123" s="12">
        <f t="shared" si="7"/>
        <v>2</v>
      </c>
      <c r="R123" s="12" t="str">
        <f t="shared" si="8"/>
        <v>MG</v>
      </c>
      <c r="S123" s="13">
        <f t="shared" ca="1" si="9"/>
        <v>46309.658403472225</v>
      </c>
    </row>
    <row r="124" spans="1:19" ht="15.75" customHeight="1" x14ac:dyDescent="0.3">
      <c r="A124" s="9" t="s">
        <v>283</v>
      </c>
      <c r="B124" s="10">
        <v>45572</v>
      </c>
      <c r="C124" s="9" t="s">
        <v>254</v>
      </c>
      <c r="D124" s="9" t="s">
        <v>255</v>
      </c>
      <c r="E124" s="9" t="s">
        <v>72</v>
      </c>
      <c r="F124" s="9" t="s">
        <v>73</v>
      </c>
      <c r="G124" s="9" t="s">
        <v>39</v>
      </c>
      <c r="H124" s="9">
        <v>4</v>
      </c>
      <c r="I124" s="11">
        <v>149.99</v>
      </c>
      <c r="J124" s="9" t="s">
        <v>46</v>
      </c>
      <c r="K124" s="9" t="s">
        <v>60</v>
      </c>
      <c r="L124" s="9" t="s">
        <v>47</v>
      </c>
      <c r="M124" s="10">
        <v>45076</v>
      </c>
      <c r="N124" s="11">
        <v>599.96</v>
      </c>
      <c r="O124" s="12" t="str">
        <f t="shared" si="5"/>
        <v>2024-10</v>
      </c>
      <c r="P124" s="12">
        <f t="shared" si="6"/>
        <v>2024</v>
      </c>
      <c r="Q124" s="12">
        <f t="shared" si="7"/>
        <v>1</v>
      </c>
      <c r="R124" s="12" t="str">
        <f t="shared" si="8"/>
        <v>SP</v>
      </c>
      <c r="S124" s="13">
        <f t="shared" ca="1" si="9"/>
        <v>46309.658403472225</v>
      </c>
    </row>
    <row r="125" spans="1:19" ht="15.75" customHeight="1" x14ac:dyDescent="0.3">
      <c r="A125" s="9" t="s">
        <v>284</v>
      </c>
      <c r="B125" s="10">
        <v>45573</v>
      </c>
      <c r="C125" s="9" t="s">
        <v>231</v>
      </c>
      <c r="D125" s="9" t="s">
        <v>232</v>
      </c>
      <c r="E125" s="9" t="s">
        <v>100</v>
      </c>
      <c r="F125" s="9" t="s">
        <v>101</v>
      </c>
      <c r="G125" s="9" t="s">
        <v>39</v>
      </c>
      <c r="H125" s="9">
        <v>2</v>
      </c>
      <c r="I125" s="11">
        <v>699.99</v>
      </c>
      <c r="J125" s="9" t="s">
        <v>77</v>
      </c>
      <c r="K125" s="9" t="s">
        <v>83</v>
      </c>
      <c r="L125" s="9" t="s">
        <v>47</v>
      </c>
      <c r="M125" s="10">
        <v>45274</v>
      </c>
      <c r="N125" s="11">
        <v>1399.98</v>
      </c>
      <c r="O125" s="12" t="str">
        <f t="shared" si="5"/>
        <v>2024-10</v>
      </c>
      <c r="P125" s="12">
        <f t="shared" si="6"/>
        <v>2024</v>
      </c>
      <c r="Q125" s="12">
        <f t="shared" si="7"/>
        <v>0</v>
      </c>
      <c r="R125" s="12" t="str">
        <f t="shared" si="8"/>
        <v>EH</v>
      </c>
      <c r="S125" s="13">
        <f t="shared" ca="1" si="9"/>
        <v>46309.658403472225</v>
      </c>
    </row>
    <row r="126" spans="1:19" ht="15.75" customHeight="1" x14ac:dyDescent="0.3">
      <c r="A126" s="9" t="s">
        <v>285</v>
      </c>
      <c r="B126" s="10">
        <v>45573</v>
      </c>
      <c r="C126" s="9" t="s">
        <v>251</v>
      </c>
      <c r="D126" s="9" t="s">
        <v>252</v>
      </c>
      <c r="E126" s="9" t="s">
        <v>64</v>
      </c>
      <c r="F126" s="9" t="s">
        <v>65</v>
      </c>
      <c r="G126" s="9" t="s">
        <v>66</v>
      </c>
      <c r="H126" s="9">
        <v>3</v>
      </c>
      <c r="I126" s="11">
        <v>149.99</v>
      </c>
      <c r="J126" s="9" t="s">
        <v>46</v>
      </c>
      <c r="K126" s="9" t="s">
        <v>55</v>
      </c>
      <c r="L126" s="9" t="s">
        <v>56</v>
      </c>
      <c r="M126" s="10">
        <v>44940</v>
      </c>
      <c r="N126" s="11">
        <v>449.97</v>
      </c>
      <c r="O126" s="12" t="str">
        <f t="shared" si="5"/>
        <v>2024-10</v>
      </c>
      <c r="P126" s="12">
        <f t="shared" si="6"/>
        <v>2024</v>
      </c>
      <c r="Q126" s="12">
        <f t="shared" si="7"/>
        <v>1</v>
      </c>
      <c r="R126" s="12" t="str">
        <f t="shared" si="8"/>
        <v>CE</v>
      </c>
      <c r="S126" s="13">
        <f t="shared" ca="1" si="9"/>
        <v>46309.658403472225</v>
      </c>
    </row>
    <row r="127" spans="1:19" ht="15.75" customHeight="1" x14ac:dyDescent="0.3">
      <c r="A127" s="9" t="s">
        <v>286</v>
      </c>
      <c r="B127" s="10">
        <v>45576</v>
      </c>
      <c r="C127" s="9" t="s">
        <v>167</v>
      </c>
      <c r="D127" s="9" t="s">
        <v>168</v>
      </c>
      <c r="E127" s="9" t="s">
        <v>125</v>
      </c>
      <c r="F127" s="9" t="s">
        <v>126</v>
      </c>
      <c r="G127" s="9" t="s">
        <v>66</v>
      </c>
      <c r="H127" s="9">
        <v>3</v>
      </c>
      <c r="I127" s="11">
        <v>299.99</v>
      </c>
      <c r="J127" s="9" t="s">
        <v>46</v>
      </c>
      <c r="K127" s="9" t="s">
        <v>41</v>
      </c>
      <c r="L127" s="9" t="s">
        <v>56</v>
      </c>
      <c r="M127" s="10">
        <v>45174</v>
      </c>
      <c r="N127" s="11">
        <v>899.97</v>
      </c>
      <c r="O127" s="12" t="str">
        <f t="shared" si="5"/>
        <v>2024-10</v>
      </c>
      <c r="P127" s="12">
        <f t="shared" si="6"/>
        <v>2024</v>
      </c>
      <c r="Q127" s="12">
        <f t="shared" si="7"/>
        <v>1</v>
      </c>
      <c r="R127" s="12" t="str">
        <f t="shared" si="8"/>
        <v>DK</v>
      </c>
      <c r="S127" s="13">
        <f t="shared" ca="1" si="9"/>
        <v>46309.658403472225</v>
      </c>
    </row>
    <row r="128" spans="1:19" ht="15.75" customHeight="1" x14ac:dyDescent="0.3">
      <c r="A128" s="9" t="s">
        <v>287</v>
      </c>
      <c r="B128" s="10">
        <v>45579</v>
      </c>
      <c r="C128" s="9" t="s">
        <v>103</v>
      </c>
      <c r="D128" s="9" t="s">
        <v>104</v>
      </c>
      <c r="E128" s="9" t="s">
        <v>81</v>
      </c>
      <c r="F128" s="9" t="s">
        <v>82</v>
      </c>
      <c r="G128" s="9" t="s">
        <v>39</v>
      </c>
      <c r="H128" s="9">
        <v>3</v>
      </c>
      <c r="I128" s="11">
        <v>899.99</v>
      </c>
      <c r="J128" s="9" t="s">
        <v>54</v>
      </c>
      <c r="K128" s="9" t="s">
        <v>70</v>
      </c>
      <c r="L128" s="9" t="s">
        <v>42</v>
      </c>
      <c r="M128" s="10">
        <v>45215</v>
      </c>
      <c r="N128" s="11">
        <v>2699.97</v>
      </c>
      <c r="O128" s="12" t="str">
        <f t="shared" si="5"/>
        <v>2024-10</v>
      </c>
      <c r="P128" s="12">
        <f t="shared" si="6"/>
        <v>2024</v>
      </c>
      <c r="Q128" s="12">
        <f t="shared" si="7"/>
        <v>0</v>
      </c>
      <c r="R128" s="12" t="str">
        <f t="shared" si="8"/>
        <v>GA</v>
      </c>
      <c r="S128" s="13">
        <f t="shared" ca="1" si="9"/>
        <v>46309.658403472225</v>
      </c>
    </row>
    <row r="129" spans="1:19" ht="15.75" customHeight="1" x14ac:dyDescent="0.3">
      <c r="A129" s="9" t="s">
        <v>288</v>
      </c>
      <c r="B129" s="10">
        <v>45581</v>
      </c>
      <c r="C129" s="9" t="s">
        <v>116</v>
      </c>
      <c r="D129" s="9" t="s">
        <v>117</v>
      </c>
      <c r="E129" s="9" t="s">
        <v>100</v>
      </c>
      <c r="F129" s="9" t="s">
        <v>101</v>
      </c>
      <c r="G129" s="9" t="s">
        <v>39</v>
      </c>
      <c r="H129" s="9">
        <v>5</v>
      </c>
      <c r="I129" s="11">
        <v>699.99</v>
      </c>
      <c r="J129" s="9" t="s">
        <v>40</v>
      </c>
      <c r="K129" s="9" t="s">
        <v>83</v>
      </c>
      <c r="L129" s="9" t="s">
        <v>56</v>
      </c>
      <c r="M129" s="10">
        <v>45008</v>
      </c>
      <c r="N129" s="11">
        <v>3499.95</v>
      </c>
      <c r="O129" s="12" t="str">
        <f t="shared" si="5"/>
        <v>2024-10</v>
      </c>
      <c r="P129" s="12">
        <f t="shared" si="6"/>
        <v>2024</v>
      </c>
      <c r="Q129" s="12">
        <f t="shared" si="7"/>
        <v>1</v>
      </c>
      <c r="R129" s="12" t="str">
        <f t="shared" si="8"/>
        <v>BY</v>
      </c>
      <c r="S129" s="13">
        <f t="shared" ca="1" si="9"/>
        <v>46309.658403472225</v>
      </c>
    </row>
    <row r="130" spans="1:19" ht="15.75" customHeight="1" x14ac:dyDescent="0.3">
      <c r="A130" s="9" t="s">
        <v>289</v>
      </c>
      <c r="B130" s="10">
        <v>45581</v>
      </c>
      <c r="C130" s="9" t="s">
        <v>191</v>
      </c>
      <c r="D130" s="9" t="s">
        <v>192</v>
      </c>
      <c r="E130" s="9" t="s">
        <v>100</v>
      </c>
      <c r="F130" s="9" t="s">
        <v>101</v>
      </c>
      <c r="G130" s="9" t="s">
        <v>39</v>
      </c>
      <c r="H130" s="9">
        <v>4</v>
      </c>
      <c r="I130" s="11">
        <v>699.99</v>
      </c>
      <c r="J130" s="9" t="s">
        <v>46</v>
      </c>
      <c r="K130" s="9" t="s">
        <v>41</v>
      </c>
      <c r="L130" s="9" t="s">
        <v>42</v>
      </c>
      <c r="M130" s="10">
        <v>45385</v>
      </c>
      <c r="N130" s="11">
        <v>2799.96</v>
      </c>
      <c r="O130" s="12" t="str">
        <f t="shared" ref="O130:O193" si="10">TEXT(B130,"yyyy-mm")</f>
        <v>2024-10</v>
      </c>
      <c r="P130" s="12">
        <f t="shared" ref="P130:P193" si="11">YEAR(B130)</f>
        <v>2024</v>
      </c>
      <c r="Q130" s="12">
        <f t="shared" ref="Q130:Q193" si="12">DATEDIF(M130,B130,"Y")</f>
        <v>0</v>
      </c>
      <c r="R130" s="12" t="str">
        <f t="shared" ref="R130:R193" si="13">UPPER(LEFT(D130,1)&amp;MID(D130,FIND(" ",D130)+1,1))</f>
        <v>RR</v>
      </c>
      <c r="S130" s="13">
        <f t="shared" ref="S130:S193" ca="1" si="14">NOW()</f>
        <v>46309.658403472225</v>
      </c>
    </row>
    <row r="131" spans="1:19" ht="15.75" customHeight="1" x14ac:dyDescent="0.3">
      <c r="A131" s="9" t="s">
        <v>290</v>
      </c>
      <c r="B131" s="10">
        <v>45581</v>
      </c>
      <c r="C131" s="9" t="s">
        <v>170</v>
      </c>
      <c r="D131" s="9" t="s">
        <v>171</v>
      </c>
      <c r="E131" s="9" t="s">
        <v>81</v>
      </c>
      <c r="F131" s="9" t="s">
        <v>82</v>
      </c>
      <c r="G131" s="9" t="s">
        <v>39</v>
      </c>
      <c r="H131" s="9">
        <v>1</v>
      </c>
      <c r="I131" s="11">
        <v>899.99</v>
      </c>
      <c r="J131" s="9" t="s">
        <v>46</v>
      </c>
      <c r="K131" s="9" t="s">
        <v>83</v>
      </c>
      <c r="L131" s="9" t="s">
        <v>56</v>
      </c>
      <c r="M131" s="10">
        <v>45369</v>
      </c>
      <c r="N131" s="11">
        <v>899.99</v>
      </c>
      <c r="O131" s="12" t="str">
        <f t="shared" si="10"/>
        <v>2024-10</v>
      </c>
      <c r="P131" s="12">
        <f t="shared" si="11"/>
        <v>2024</v>
      </c>
      <c r="Q131" s="12">
        <f t="shared" si="12"/>
        <v>0</v>
      </c>
      <c r="R131" s="12" t="str">
        <f t="shared" si="13"/>
        <v>SB</v>
      </c>
      <c r="S131" s="13">
        <f t="shared" ca="1" si="14"/>
        <v>46309.658403472225</v>
      </c>
    </row>
    <row r="132" spans="1:19" ht="15.75" customHeight="1" x14ac:dyDescent="0.3">
      <c r="A132" s="9" t="s">
        <v>291</v>
      </c>
      <c r="B132" s="10">
        <v>45583</v>
      </c>
      <c r="C132" s="9" t="s">
        <v>246</v>
      </c>
      <c r="D132" s="9" t="s">
        <v>247</v>
      </c>
      <c r="E132" s="9" t="s">
        <v>72</v>
      </c>
      <c r="F132" s="9" t="s">
        <v>73</v>
      </c>
      <c r="G132" s="9" t="s">
        <v>39</v>
      </c>
      <c r="H132" s="9">
        <v>2</v>
      </c>
      <c r="I132" s="11">
        <v>149.99</v>
      </c>
      <c r="J132" s="9" t="s">
        <v>46</v>
      </c>
      <c r="K132" s="9" t="s">
        <v>70</v>
      </c>
      <c r="L132" s="9" t="s">
        <v>42</v>
      </c>
      <c r="M132" s="10">
        <v>44916</v>
      </c>
      <c r="N132" s="11">
        <v>299.98</v>
      </c>
      <c r="O132" s="12" t="str">
        <f t="shared" si="10"/>
        <v>2024-10</v>
      </c>
      <c r="P132" s="12">
        <f t="shared" si="11"/>
        <v>2024</v>
      </c>
      <c r="Q132" s="12">
        <f t="shared" si="12"/>
        <v>1</v>
      </c>
      <c r="R132" s="12" t="str">
        <f t="shared" si="13"/>
        <v>LR</v>
      </c>
      <c r="S132" s="13">
        <f t="shared" ca="1" si="14"/>
        <v>46309.658403472225</v>
      </c>
    </row>
    <row r="133" spans="1:19" ht="15.75" customHeight="1" x14ac:dyDescent="0.3">
      <c r="A133" s="9" t="s">
        <v>292</v>
      </c>
      <c r="B133" s="10">
        <v>45586</v>
      </c>
      <c r="C133" s="9" t="s">
        <v>246</v>
      </c>
      <c r="D133" s="9" t="s">
        <v>247</v>
      </c>
      <c r="E133" s="9" t="s">
        <v>137</v>
      </c>
      <c r="F133" s="9" t="s">
        <v>138</v>
      </c>
      <c r="G133" s="9" t="s">
        <v>39</v>
      </c>
      <c r="H133" s="9">
        <v>3</v>
      </c>
      <c r="I133" s="11">
        <v>89.99</v>
      </c>
      <c r="J133" s="9" t="s">
        <v>54</v>
      </c>
      <c r="K133" s="9" t="s">
        <v>41</v>
      </c>
      <c r="L133" s="9" t="s">
        <v>42</v>
      </c>
      <c r="M133" s="10">
        <v>44551</v>
      </c>
      <c r="N133" s="11">
        <v>269.97000000000003</v>
      </c>
      <c r="O133" s="12" t="str">
        <f t="shared" si="10"/>
        <v>2024-10</v>
      </c>
      <c r="P133" s="12">
        <f t="shared" si="11"/>
        <v>2024</v>
      </c>
      <c r="Q133" s="12">
        <f t="shared" si="12"/>
        <v>2</v>
      </c>
      <c r="R133" s="12" t="str">
        <f t="shared" si="13"/>
        <v>LR</v>
      </c>
      <c r="S133" s="13">
        <f t="shared" ca="1" si="14"/>
        <v>46309.658403472225</v>
      </c>
    </row>
    <row r="134" spans="1:19" ht="15.75" customHeight="1" x14ac:dyDescent="0.3">
      <c r="A134" s="9" t="s">
        <v>293</v>
      </c>
      <c r="B134" s="10">
        <v>45588</v>
      </c>
      <c r="C134" s="9" t="s">
        <v>58</v>
      </c>
      <c r="D134" s="9" t="s">
        <v>59</v>
      </c>
      <c r="E134" s="9" t="s">
        <v>72</v>
      </c>
      <c r="F134" s="9" t="s">
        <v>73</v>
      </c>
      <c r="G134" s="9" t="s">
        <v>39</v>
      </c>
      <c r="H134" s="9">
        <v>2</v>
      </c>
      <c r="I134" s="11">
        <v>149.99</v>
      </c>
      <c r="J134" s="9" t="s">
        <v>54</v>
      </c>
      <c r="K134" s="9" t="s">
        <v>41</v>
      </c>
      <c r="L134" s="9" t="s">
        <v>42</v>
      </c>
      <c r="M134" s="10">
        <v>44473</v>
      </c>
      <c r="N134" s="11">
        <v>299.98</v>
      </c>
      <c r="O134" s="12" t="str">
        <f t="shared" si="10"/>
        <v>2024-10</v>
      </c>
      <c r="P134" s="12">
        <f t="shared" si="11"/>
        <v>2024</v>
      </c>
      <c r="Q134" s="12">
        <f t="shared" si="12"/>
        <v>3</v>
      </c>
      <c r="R134" s="12" t="str">
        <f t="shared" si="13"/>
        <v>KB</v>
      </c>
      <c r="S134" s="13">
        <f t="shared" ca="1" si="14"/>
        <v>46309.658403472225</v>
      </c>
    </row>
    <row r="135" spans="1:19" ht="15.75" customHeight="1" x14ac:dyDescent="0.3">
      <c r="A135" s="9" t="s">
        <v>294</v>
      </c>
      <c r="B135" s="10">
        <v>45588</v>
      </c>
      <c r="C135" s="9" t="s">
        <v>174</v>
      </c>
      <c r="D135" s="9" t="s">
        <v>175</v>
      </c>
      <c r="E135" s="9" t="s">
        <v>100</v>
      </c>
      <c r="F135" s="9" t="s">
        <v>101</v>
      </c>
      <c r="G135" s="9" t="s">
        <v>39</v>
      </c>
      <c r="H135" s="9">
        <v>2</v>
      </c>
      <c r="I135" s="11">
        <v>699.99</v>
      </c>
      <c r="J135" s="9" t="s">
        <v>40</v>
      </c>
      <c r="K135" s="9" t="s">
        <v>41</v>
      </c>
      <c r="L135" s="9" t="s">
        <v>42</v>
      </c>
      <c r="M135" s="10">
        <v>44992</v>
      </c>
      <c r="N135" s="11">
        <v>1399.98</v>
      </c>
      <c r="O135" s="12" t="str">
        <f t="shared" si="10"/>
        <v>2024-10</v>
      </c>
      <c r="P135" s="12">
        <f t="shared" si="11"/>
        <v>2024</v>
      </c>
      <c r="Q135" s="12">
        <f t="shared" si="12"/>
        <v>1</v>
      </c>
      <c r="R135" s="12" t="str">
        <f t="shared" si="13"/>
        <v>SD</v>
      </c>
      <c r="S135" s="13">
        <f t="shared" ca="1" si="14"/>
        <v>46309.658403472225</v>
      </c>
    </row>
    <row r="136" spans="1:19" ht="15.75" customHeight="1" x14ac:dyDescent="0.3">
      <c r="A136" s="9" t="s">
        <v>295</v>
      </c>
      <c r="B136" s="10">
        <v>45589</v>
      </c>
      <c r="C136" s="9" t="s">
        <v>178</v>
      </c>
      <c r="D136" s="9" t="s">
        <v>179</v>
      </c>
      <c r="E136" s="9" t="s">
        <v>100</v>
      </c>
      <c r="F136" s="9" t="s">
        <v>101</v>
      </c>
      <c r="G136" s="9" t="s">
        <v>39</v>
      </c>
      <c r="H136" s="9">
        <v>5</v>
      </c>
      <c r="I136" s="11">
        <v>699.99</v>
      </c>
      <c r="J136" s="9" t="s">
        <v>40</v>
      </c>
      <c r="K136" s="9" t="s">
        <v>60</v>
      </c>
      <c r="L136" s="9" t="s">
        <v>47</v>
      </c>
      <c r="M136" s="10">
        <v>44635</v>
      </c>
      <c r="N136" s="11">
        <v>3499.95</v>
      </c>
      <c r="O136" s="12" t="str">
        <f t="shared" si="10"/>
        <v>2024-10</v>
      </c>
      <c r="P136" s="12">
        <f t="shared" si="11"/>
        <v>2024</v>
      </c>
      <c r="Q136" s="12">
        <f t="shared" si="12"/>
        <v>2</v>
      </c>
      <c r="R136" s="12" t="str">
        <f t="shared" si="13"/>
        <v>BC</v>
      </c>
      <c r="S136" s="13">
        <f t="shared" ca="1" si="14"/>
        <v>46309.658403472225</v>
      </c>
    </row>
    <row r="137" spans="1:19" ht="15.75" customHeight="1" x14ac:dyDescent="0.3">
      <c r="A137" s="9" t="s">
        <v>296</v>
      </c>
      <c r="B137" s="10">
        <v>45592</v>
      </c>
      <c r="C137" s="9" t="s">
        <v>191</v>
      </c>
      <c r="D137" s="9" t="s">
        <v>192</v>
      </c>
      <c r="E137" s="9" t="s">
        <v>137</v>
      </c>
      <c r="F137" s="9" t="s">
        <v>138</v>
      </c>
      <c r="G137" s="9" t="s">
        <v>39</v>
      </c>
      <c r="H137" s="9">
        <v>3</v>
      </c>
      <c r="I137" s="11">
        <v>89.99</v>
      </c>
      <c r="J137" s="9" t="s">
        <v>46</v>
      </c>
      <c r="K137" s="9" t="s">
        <v>60</v>
      </c>
      <c r="L137" s="9" t="s">
        <v>56</v>
      </c>
      <c r="M137" s="10">
        <v>44615</v>
      </c>
      <c r="N137" s="11">
        <v>269.97000000000003</v>
      </c>
      <c r="O137" s="12" t="str">
        <f t="shared" si="10"/>
        <v>2024-10</v>
      </c>
      <c r="P137" s="12">
        <f t="shared" si="11"/>
        <v>2024</v>
      </c>
      <c r="Q137" s="12">
        <f t="shared" si="12"/>
        <v>2</v>
      </c>
      <c r="R137" s="12" t="str">
        <f t="shared" si="13"/>
        <v>RR</v>
      </c>
      <c r="S137" s="13">
        <f t="shared" ca="1" si="14"/>
        <v>46309.658403472225</v>
      </c>
    </row>
    <row r="138" spans="1:19" ht="15.75" customHeight="1" x14ac:dyDescent="0.3">
      <c r="A138" s="9" t="s">
        <v>297</v>
      </c>
      <c r="B138" s="10">
        <v>45597</v>
      </c>
      <c r="C138" s="9" t="s">
        <v>35</v>
      </c>
      <c r="D138" s="9" t="s">
        <v>36</v>
      </c>
      <c r="E138" s="9" t="s">
        <v>37</v>
      </c>
      <c r="F138" s="9" t="s">
        <v>38</v>
      </c>
      <c r="G138" s="9" t="s">
        <v>39</v>
      </c>
      <c r="H138" s="9">
        <v>5</v>
      </c>
      <c r="I138" s="11">
        <v>249.99</v>
      </c>
      <c r="J138" s="9" t="s">
        <v>46</v>
      </c>
      <c r="K138" s="9" t="s">
        <v>55</v>
      </c>
      <c r="L138" s="9" t="s">
        <v>56</v>
      </c>
      <c r="M138" s="10">
        <v>44881</v>
      </c>
      <c r="N138" s="11">
        <v>1249.95</v>
      </c>
      <c r="O138" s="12" t="str">
        <f t="shared" si="10"/>
        <v>2024-11</v>
      </c>
      <c r="P138" s="12">
        <f t="shared" si="11"/>
        <v>2024</v>
      </c>
      <c r="Q138" s="12">
        <f t="shared" si="12"/>
        <v>1</v>
      </c>
      <c r="R138" s="12" t="str">
        <f t="shared" si="13"/>
        <v>PB</v>
      </c>
      <c r="S138" s="13">
        <f t="shared" ca="1" si="14"/>
        <v>46309.658403472225</v>
      </c>
    </row>
    <row r="139" spans="1:19" ht="15.75" customHeight="1" x14ac:dyDescent="0.3">
      <c r="A139" s="9" t="s">
        <v>298</v>
      </c>
      <c r="B139" s="10">
        <v>45600</v>
      </c>
      <c r="C139" s="9" t="s">
        <v>85</v>
      </c>
      <c r="D139" s="9" t="s">
        <v>86</v>
      </c>
      <c r="E139" s="9" t="s">
        <v>125</v>
      </c>
      <c r="F139" s="9" t="s">
        <v>126</v>
      </c>
      <c r="G139" s="9" t="s">
        <v>66</v>
      </c>
      <c r="H139" s="9">
        <v>3</v>
      </c>
      <c r="I139" s="11">
        <v>299.99</v>
      </c>
      <c r="J139" s="9" t="s">
        <v>46</v>
      </c>
      <c r="K139" s="9" t="s">
        <v>55</v>
      </c>
      <c r="L139" s="9" t="s">
        <v>56</v>
      </c>
      <c r="M139" s="10">
        <v>44502</v>
      </c>
      <c r="N139" s="11">
        <v>899.97</v>
      </c>
      <c r="O139" s="12" t="str">
        <f t="shared" si="10"/>
        <v>2024-11</v>
      </c>
      <c r="P139" s="12">
        <f t="shared" si="11"/>
        <v>2024</v>
      </c>
      <c r="Q139" s="12">
        <f t="shared" si="12"/>
        <v>3</v>
      </c>
      <c r="R139" s="12" t="str">
        <f t="shared" si="13"/>
        <v>KH</v>
      </c>
      <c r="S139" s="13">
        <f t="shared" ca="1" si="14"/>
        <v>46309.658403472225</v>
      </c>
    </row>
    <row r="140" spans="1:19" ht="15.75" customHeight="1" x14ac:dyDescent="0.3">
      <c r="A140" s="9" t="s">
        <v>299</v>
      </c>
      <c r="B140" s="10">
        <v>45603</v>
      </c>
      <c r="C140" s="9" t="s">
        <v>119</v>
      </c>
      <c r="D140" s="9" t="s">
        <v>120</v>
      </c>
      <c r="E140" s="9" t="s">
        <v>137</v>
      </c>
      <c r="F140" s="9" t="s">
        <v>138</v>
      </c>
      <c r="G140" s="9" t="s">
        <v>39</v>
      </c>
      <c r="H140" s="9">
        <v>3</v>
      </c>
      <c r="I140" s="11">
        <v>89.99</v>
      </c>
      <c r="J140" s="9" t="s">
        <v>46</v>
      </c>
      <c r="K140" s="9" t="s">
        <v>60</v>
      </c>
      <c r="L140" s="9" t="s">
        <v>47</v>
      </c>
      <c r="M140" s="10">
        <v>44420</v>
      </c>
      <c r="N140" s="11">
        <v>269.97000000000003</v>
      </c>
      <c r="O140" s="12" t="str">
        <f t="shared" si="10"/>
        <v>2024-11</v>
      </c>
      <c r="P140" s="12">
        <f t="shared" si="11"/>
        <v>2024</v>
      </c>
      <c r="Q140" s="12">
        <f t="shared" si="12"/>
        <v>3</v>
      </c>
      <c r="R140" s="12" t="str">
        <f t="shared" si="13"/>
        <v>PM</v>
      </c>
      <c r="S140" s="13">
        <f t="shared" ca="1" si="14"/>
        <v>46309.658403472225</v>
      </c>
    </row>
    <row r="141" spans="1:19" ht="15.75" customHeight="1" x14ac:dyDescent="0.3">
      <c r="A141" s="9" t="s">
        <v>300</v>
      </c>
      <c r="B141" s="10">
        <v>45604</v>
      </c>
      <c r="C141" s="9" t="s">
        <v>109</v>
      </c>
      <c r="D141" s="9" t="s">
        <v>110</v>
      </c>
      <c r="E141" s="9" t="s">
        <v>64</v>
      </c>
      <c r="F141" s="9" t="s">
        <v>65</v>
      </c>
      <c r="G141" s="9" t="s">
        <v>66</v>
      </c>
      <c r="H141" s="9">
        <v>2</v>
      </c>
      <c r="I141" s="11">
        <v>149.99</v>
      </c>
      <c r="J141" s="9" t="s">
        <v>46</v>
      </c>
      <c r="K141" s="9" t="s">
        <v>70</v>
      </c>
      <c r="L141" s="9" t="s">
        <v>47</v>
      </c>
      <c r="M141" s="10">
        <v>44848</v>
      </c>
      <c r="N141" s="11">
        <v>299.98</v>
      </c>
      <c r="O141" s="12" t="str">
        <f t="shared" si="10"/>
        <v>2024-11</v>
      </c>
      <c r="P141" s="12">
        <f t="shared" si="11"/>
        <v>2024</v>
      </c>
      <c r="Q141" s="12">
        <f t="shared" si="12"/>
        <v>2</v>
      </c>
      <c r="R141" s="12" t="str">
        <f t="shared" si="13"/>
        <v>MG</v>
      </c>
      <c r="S141" s="13">
        <f t="shared" ca="1" si="14"/>
        <v>46309.658403472225</v>
      </c>
    </row>
    <row r="142" spans="1:19" ht="15.75" customHeight="1" x14ac:dyDescent="0.3">
      <c r="A142" s="9" t="s">
        <v>301</v>
      </c>
      <c r="B142" s="10">
        <v>45605</v>
      </c>
      <c r="C142" s="9" t="s">
        <v>205</v>
      </c>
      <c r="D142" s="9" t="s">
        <v>206</v>
      </c>
      <c r="E142" s="9" t="s">
        <v>37</v>
      </c>
      <c r="F142" s="9" t="s">
        <v>38</v>
      </c>
      <c r="G142" s="9" t="s">
        <v>39</v>
      </c>
      <c r="H142" s="9">
        <v>1</v>
      </c>
      <c r="I142" s="11">
        <v>249.99</v>
      </c>
      <c r="J142" s="9" t="s">
        <v>46</v>
      </c>
      <c r="K142" s="9" t="s">
        <v>60</v>
      </c>
      <c r="L142" s="9" t="s">
        <v>47</v>
      </c>
      <c r="M142" s="10">
        <v>44828</v>
      </c>
      <c r="N142" s="11">
        <v>249.99</v>
      </c>
      <c r="O142" s="12" t="str">
        <f t="shared" si="10"/>
        <v>2024-11</v>
      </c>
      <c r="P142" s="12">
        <f t="shared" si="11"/>
        <v>2024</v>
      </c>
      <c r="Q142" s="12">
        <f t="shared" si="12"/>
        <v>2</v>
      </c>
      <c r="R142" s="12" t="str">
        <f t="shared" si="13"/>
        <v>MW</v>
      </c>
      <c r="S142" s="13">
        <f t="shared" ca="1" si="14"/>
        <v>46309.658403472225</v>
      </c>
    </row>
    <row r="143" spans="1:19" ht="15.75" customHeight="1" x14ac:dyDescent="0.3">
      <c r="A143" s="9" t="s">
        <v>302</v>
      </c>
      <c r="B143" s="10">
        <v>45607</v>
      </c>
      <c r="C143" s="9" t="s">
        <v>92</v>
      </c>
      <c r="D143" s="9" t="s">
        <v>93</v>
      </c>
      <c r="E143" s="9" t="s">
        <v>72</v>
      </c>
      <c r="F143" s="9" t="s">
        <v>73</v>
      </c>
      <c r="G143" s="9" t="s">
        <v>39</v>
      </c>
      <c r="H143" s="9">
        <v>3</v>
      </c>
      <c r="I143" s="11">
        <v>149.99</v>
      </c>
      <c r="J143" s="9" t="s">
        <v>40</v>
      </c>
      <c r="K143" s="9" t="s">
        <v>60</v>
      </c>
      <c r="L143" s="9" t="s">
        <v>42</v>
      </c>
      <c r="M143" s="10">
        <v>44769</v>
      </c>
      <c r="N143" s="11">
        <v>449.97</v>
      </c>
      <c r="O143" s="12" t="str">
        <f t="shared" si="10"/>
        <v>2024-11</v>
      </c>
      <c r="P143" s="12">
        <f t="shared" si="11"/>
        <v>2024</v>
      </c>
      <c r="Q143" s="12">
        <f t="shared" si="12"/>
        <v>2</v>
      </c>
      <c r="R143" s="12" t="str">
        <f t="shared" si="13"/>
        <v>PR</v>
      </c>
      <c r="S143" s="13">
        <f t="shared" ca="1" si="14"/>
        <v>46309.658403472225</v>
      </c>
    </row>
    <row r="144" spans="1:19" ht="15.75" customHeight="1" x14ac:dyDescent="0.3">
      <c r="A144" s="9" t="s">
        <v>303</v>
      </c>
      <c r="B144" s="10">
        <v>45607</v>
      </c>
      <c r="C144" s="9" t="s">
        <v>35</v>
      </c>
      <c r="D144" s="9" t="s">
        <v>36</v>
      </c>
      <c r="E144" s="9" t="s">
        <v>51</v>
      </c>
      <c r="F144" s="9" t="s">
        <v>52</v>
      </c>
      <c r="G144" s="9" t="s">
        <v>53</v>
      </c>
      <c r="H144" s="9">
        <v>5</v>
      </c>
      <c r="I144" s="11">
        <v>59.99</v>
      </c>
      <c r="J144" s="9" t="s">
        <v>54</v>
      </c>
      <c r="K144" s="9" t="s">
        <v>70</v>
      </c>
      <c r="L144" s="9" t="s">
        <v>47</v>
      </c>
      <c r="M144" s="10">
        <v>44694</v>
      </c>
      <c r="N144" s="11">
        <v>299.95</v>
      </c>
      <c r="O144" s="12" t="str">
        <f t="shared" si="10"/>
        <v>2024-11</v>
      </c>
      <c r="P144" s="12">
        <f t="shared" si="11"/>
        <v>2024</v>
      </c>
      <c r="Q144" s="12">
        <f t="shared" si="12"/>
        <v>2</v>
      </c>
      <c r="R144" s="12" t="str">
        <f t="shared" si="13"/>
        <v>PB</v>
      </c>
      <c r="S144" s="13">
        <f t="shared" ca="1" si="14"/>
        <v>46309.658403472225</v>
      </c>
    </row>
    <row r="145" spans="1:19" ht="15.75" customHeight="1" x14ac:dyDescent="0.3">
      <c r="A145" s="9" t="s">
        <v>304</v>
      </c>
      <c r="B145" s="10">
        <v>45607</v>
      </c>
      <c r="C145" s="9" t="s">
        <v>119</v>
      </c>
      <c r="D145" s="9" t="s">
        <v>120</v>
      </c>
      <c r="E145" s="9" t="s">
        <v>37</v>
      </c>
      <c r="F145" s="9" t="s">
        <v>38</v>
      </c>
      <c r="G145" s="9" t="s">
        <v>39</v>
      </c>
      <c r="H145" s="9">
        <v>4</v>
      </c>
      <c r="I145" s="11">
        <v>249.99</v>
      </c>
      <c r="J145" s="9" t="s">
        <v>46</v>
      </c>
      <c r="K145" s="9" t="s">
        <v>70</v>
      </c>
      <c r="L145" s="9" t="s">
        <v>56</v>
      </c>
      <c r="M145" s="10">
        <v>44659</v>
      </c>
      <c r="N145" s="11">
        <v>999.96</v>
      </c>
      <c r="O145" s="12" t="str">
        <f t="shared" si="10"/>
        <v>2024-11</v>
      </c>
      <c r="P145" s="12">
        <f t="shared" si="11"/>
        <v>2024</v>
      </c>
      <c r="Q145" s="12">
        <f t="shared" si="12"/>
        <v>2</v>
      </c>
      <c r="R145" s="12" t="str">
        <f t="shared" si="13"/>
        <v>PM</v>
      </c>
      <c r="S145" s="13">
        <f t="shared" ca="1" si="14"/>
        <v>46309.658403472225</v>
      </c>
    </row>
    <row r="146" spans="1:19" ht="15.75" customHeight="1" x14ac:dyDescent="0.3">
      <c r="A146" s="9" t="s">
        <v>305</v>
      </c>
      <c r="B146" s="10">
        <v>45608</v>
      </c>
      <c r="C146" s="9" t="s">
        <v>174</v>
      </c>
      <c r="D146" s="9" t="s">
        <v>175</v>
      </c>
      <c r="E146" s="9" t="s">
        <v>64</v>
      </c>
      <c r="F146" s="9" t="s">
        <v>65</v>
      </c>
      <c r="G146" s="9" t="s">
        <v>66</v>
      </c>
      <c r="H146" s="9">
        <v>5</v>
      </c>
      <c r="I146" s="11">
        <v>149.99</v>
      </c>
      <c r="J146" s="9" t="s">
        <v>54</v>
      </c>
      <c r="K146" s="9" t="s">
        <v>41</v>
      </c>
      <c r="L146" s="9" t="s">
        <v>42</v>
      </c>
      <c r="M146" s="10">
        <v>44901</v>
      </c>
      <c r="N146" s="11">
        <v>749.95</v>
      </c>
      <c r="O146" s="12" t="str">
        <f t="shared" si="10"/>
        <v>2024-11</v>
      </c>
      <c r="P146" s="12">
        <f t="shared" si="11"/>
        <v>2024</v>
      </c>
      <c r="Q146" s="12">
        <f t="shared" si="12"/>
        <v>1</v>
      </c>
      <c r="R146" s="12" t="str">
        <f t="shared" si="13"/>
        <v>SD</v>
      </c>
      <c r="S146" s="13">
        <f t="shared" ca="1" si="14"/>
        <v>46309.658403472225</v>
      </c>
    </row>
    <row r="147" spans="1:19" ht="15.75" customHeight="1" x14ac:dyDescent="0.3">
      <c r="A147" s="9" t="s">
        <v>306</v>
      </c>
      <c r="B147" s="10">
        <v>45608</v>
      </c>
      <c r="C147" s="9" t="s">
        <v>103</v>
      </c>
      <c r="D147" s="9" t="s">
        <v>104</v>
      </c>
      <c r="E147" s="9" t="s">
        <v>51</v>
      </c>
      <c r="F147" s="9" t="s">
        <v>52</v>
      </c>
      <c r="G147" s="9" t="s">
        <v>53</v>
      </c>
      <c r="H147" s="9">
        <v>3</v>
      </c>
      <c r="I147" s="11">
        <v>59.99</v>
      </c>
      <c r="J147" s="9" t="s">
        <v>77</v>
      </c>
      <c r="K147" s="9" t="s">
        <v>55</v>
      </c>
      <c r="L147" s="9" t="s">
        <v>56</v>
      </c>
      <c r="M147" s="10">
        <v>45260</v>
      </c>
      <c r="N147" s="11">
        <v>179.97</v>
      </c>
      <c r="O147" s="12" t="str">
        <f t="shared" si="10"/>
        <v>2024-11</v>
      </c>
      <c r="P147" s="12">
        <f t="shared" si="11"/>
        <v>2024</v>
      </c>
      <c r="Q147" s="12">
        <f t="shared" si="12"/>
        <v>0</v>
      </c>
      <c r="R147" s="12" t="str">
        <f t="shared" si="13"/>
        <v>GA</v>
      </c>
      <c r="S147" s="13">
        <f t="shared" ca="1" si="14"/>
        <v>46309.658403472225</v>
      </c>
    </row>
    <row r="148" spans="1:19" ht="15.75" customHeight="1" x14ac:dyDescent="0.3">
      <c r="A148" s="9" t="s">
        <v>307</v>
      </c>
      <c r="B148" s="10">
        <v>45613</v>
      </c>
      <c r="C148" s="9" t="s">
        <v>254</v>
      </c>
      <c r="D148" s="9" t="s">
        <v>255</v>
      </c>
      <c r="E148" s="9" t="s">
        <v>64</v>
      </c>
      <c r="F148" s="9" t="s">
        <v>65</v>
      </c>
      <c r="G148" s="9" t="s">
        <v>66</v>
      </c>
      <c r="H148" s="9">
        <v>5</v>
      </c>
      <c r="I148" s="11">
        <v>149.99</v>
      </c>
      <c r="J148" s="9" t="s">
        <v>40</v>
      </c>
      <c r="K148" s="9" t="s">
        <v>60</v>
      </c>
      <c r="L148" s="9" t="s">
        <v>42</v>
      </c>
      <c r="M148" s="10">
        <v>44869</v>
      </c>
      <c r="N148" s="11">
        <v>749.95</v>
      </c>
      <c r="O148" s="12" t="str">
        <f t="shared" si="10"/>
        <v>2024-11</v>
      </c>
      <c r="P148" s="12">
        <f t="shared" si="11"/>
        <v>2024</v>
      </c>
      <c r="Q148" s="12">
        <f t="shared" si="12"/>
        <v>2</v>
      </c>
      <c r="R148" s="12" t="str">
        <f t="shared" si="13"/>
        <v>SP</v>
      </c>
      <c r="S148" s="13">
        <f t="shared" ca="1" si="14"/>
        <v>46309.658403472225</v>
      </c>
    </row>
    <row r="149" spans="1:19" ht="15.75" customHeight="1" x14ac:dyDescent="0.3">
      <c r="A149" s="9" t="s">
        <v>308</v>
      </c>
      <c r="B149" s="10">
        <v>45613</v>
      </c>
      <c r="C149" s="9" t="s">
        <v>106</v>
      </c>
      <c r="D149" s="9" t="s">
        <v>107</v>
      </c>
      <c r="E149" s="9" t="s">
        <v>100</v>
      </c>
      <c r="F149" s="9" t="s">
        <v>101</v>
      </c>
      <c r="G149" s="9" t="s">
        <v>39</v>
      </c>
      <c r="H149" s="9">
        <v>2</v>
      </c>
      <c r="I149" s="11">
        <v>699.99</v>
      </c>
      <c r="J149" s="9" t="s">
        <v>54</v>
      </c>
      <c r="K149" s="9" t="s">
        <v>70</v>
      </c>
      <c r="L149" s="9" t="s">
        <v>56</v>
      </c>
      <c r="M149" s="10">
        <v>44770</v>
      </c>
      <c r="N149" s="11">
        <v>1399.98</v>
      </c>
      <c r="O149" s="12" t="str">
        <f t="shared" si="10"/>
        <v>2024-11</v>
      </c>
      <c r="P149" s="12">
        <f t="shared" si="11"/>
        <v>2024</v>
      </c>
      <c r="Q149" s="12">
        <f t="shared" si="12"/>
        <v>2</v>
      </c>
      <c r="R149" s="12" t="str">
        <f t="shared" si="13"/>
        <v>MC</v>
      </c>
      <c r="S149" s="13">
        <f t="shared" ca="1" si="14"/>
        <v>46309.658403472225</v>
      </c>
    </row>
    <row r="150" spans="1:19" ht="15.75" customHeight="1" x14ac:dyDescent="0.3">
      <c r="A150" s="9" t="s">
        <v>309</v>
      </c>
      <c r="B150" s="10">
        <v>45617</v>
      </c>
      <c r="C150" s="9" t="s">
        <v>143</v>
      </c>
      <c r="D150" s="9" t="s">
        <v>144</v>
      </c>
      <c r="E150" s="9" t="s">
        <v>146</v>
      </c>
      <c r="F150" s="9" t="s">
        <v>147</v>
      </c>
      <c r="G150" s="9" t="s">
        <v>66</v>
      </c>
      <c r="H150" s="9">
        <v>4</v>
      </c>
      <c r="I150" s="11">
        <v>199.99</v>
      </c>
      <c r="J150" s="9" t="s">
        <v>77</v>
      </c>
      <c r="K150" s="9" t="s">
        <v>41</v>
      </c>
      <c r="L150" s="9" t="s">
        <v>47</v>
      </c>
      <c r="M150" s="10">
        <v>44427</v>
      </c>
      <c r="N150" s="11">
        <v>799.96</v>
      </c>
      <c r="O150" s="12" t="str">
        <f t="shared" si="10"/>
        <v>2024-11</v>
      </c>
      <c r="P150" s="12">
        <f t="shared" si="11"/>
        <v>2024</v>
      </c>
      <c r="Q150" s="12">
        <f t="shared" si="12"/>
        <v>3</v>
      </c>
      <c r="R150" s="12" t="str">
        <f t="shared" si="13"/>
        <v>EM</v>
      </c>
      <c r="S150" s="13">
        <f t="shared" ca="1" si="14"/>
        <v>46309.658403472225</v>
      </c>
    </row>
    <row r="151" spans="1:19" ht="15.75" customHeight="1" x14ac:dyDescent="0.3">
      <c r="A151" s="9" t="s">
        <v>310</v>
      </c>
      <c r="B151" s="10">
        <v>45619</v>
      </c>
      <c r="C151" s="9" t="s">
        <v>212</v>
      </c>
      <c r="D151" s="9" t="s">
        <v>213</v>
      </c>
      <c r="E151" s="9" t="s">
        <v>51</v>
      </c>
      <c r="F151" s="9" t="s">
        <v>52</v>
      </c>
      <c r="G151" s="9" t="s">
        <v>53</v>
      </c>
      <c r="H151" s="9">
        <v>1</v>
      </c>
      <c r="I151" s="11">
        <v>59.99</v>
      </c>
      <c r="J151" s="9" t="s">
        <v>77</v>
      </c>
      <c r="K151" s="9" t="s">
        <v>70</v>
      </c>
      <c r="L151" s="9" t="s">
        <v>56</v>
      </c>
      <c r="M151" s="10">
        <v>44560</v>
      </c>
      <c r="N151" s="11">
        <v>59.99</v>
      </c>
      <c r="O151" s="12" t="str">
        <f t="shared" si="10"/>
        <v>2024-11</v>
      </c>
      <c r="P151" s="12">
        <f t="shared" si="11"/>
        <v>2024</v>
      </c>
      <c r="Q151" s="12">
        <f t="shared" si="12"/>
        <v>2</v>
      </c>
      <c r="R151" s="12" t="str">
        <f t="shared" si="13"/>
        <v>FT</v>
      </c>
      <c r="S151" s="13">
        <f t="shared" ca="1" si="14"/>
        <v>46309.658403472225</v>
      </c>
    </row>
    <row r="152" spans="1:19" ht="15.75" customHeight="1" x14ac:dyDescent="0.3">
      <c r="A152" s="9" t="s">
        <v>311</v>
      </c>
      <c r="B152" s="10">
        <v>45619</v>
      </c>
      <c r="C152" s="9" t="s">
        <v>174</v>
      </c>
      <c r="D152" s="9" t="s">
        <v>175</v>
      </c>
      <c r="E152" s="9" t="s">
        <v>100</v>
      </c>
      <c r="F152" s="9" t="s">
        <v>101</v>
      </c>
      <c r="G152" s="9" t="s">
        <v>39</v>
      </c>
      <c r="H152" s="9">
        <v>3</v>
      </c>
      <c r="I152" s="11">
        <v>699.99</v>
      </c>
      <c r="J152" s="9" t="s">
        <v>54</v>
      </c>
      <c r="K152" s="9" t="s">
        <v>70</v>
      </c>
      <c r="L152" s="9" t="s">
        <v>56</v>
      </c>
      <c r="M152" s="10">
        <v>44583</v>
      </c>
      <c r="N152" s="11">
        <v>2099.9699999999998</v>
      </c>
      <c r="O152" s="12" t="str">
        <f t="shared" si="10"/>
        <v>2024-11</v>
      </c>
      <c r="P152" s="12">
        <f t="shared" si="11"/>
        <v>2024</v>
      </c>
      <c r="Q152" s="12">
        <f t="shared" si="12"/>
        <v>2</v>
      </c>
      <c r="R152" s="12" t="str">
        <f t="shared" si="13"/>
        <v>SD</v>
      </c>
      <c r="S152" s="13">
        <f t="shared" ca="1" si="14"/>
        <v>46309.658403472225</v>
      </c>
    </row>
    <row r="153" spans="1:19" ht="15.75" customHeight="1" x14ac:dyDescent="0.3">
      <c r="A153" s="9" t="s">
        <v>312</v>
      </c>
      <c r="B153" s="10">
        <v>45622</v>
      </c>
      <c r="C153" s="9" t="s">
        <v>313</v>
      </c>
      <c r="D153" s="9" t="s">
        <v>314</v>
      </c>
      <c r="E153" s="9" t="s">
        <v>37</v>
      </c>
      <c r="F153" s="9" t="s">
        <v>38</v>
      </c>
      <c r="G153" s="9" t="s">
        <v>39</v>
      </c>
      <c r="H153" s="9">
        <v>5</v>
      </c>
      <c r="I153" s="11">
        <v>249.99</v>
      </c>
      <c r="J153" s="9" t="s">
        <v>46</v>
      </c>
      <c r="K153" s="9" t="s">
        <v>60</v>
      </c>
      <c r="L153" s="9" t="s">
        <v>42</v>
      </c>
      <c r="M153" s="10">
        <v>44873</v>
      </c>
      <c r="N153" s="11">
        <v>1249.95</v>
      </c>
      <c r="O153" s="12" t="str">
        <f t="shared" si="10"/>
        <v>2024-11</v>
      </c>
      <c r="P153" s="12">
        <f t="shared" si="11"/>
        <v>2024</v>
      </c>
      <c r="Q153" s="12">
        <f t="shared" si="12"/>
        <v>2</v>
      </c>
      <c r="R153" s="12" t="str">
        <f t="shared" si="13"/>
        <v>DW</v>
      </c>
      <c r="S153" s="13">
        <f t="shared" ca="1" si="14"/>
        <v>46309.658403472225</v>
      </c>
    </row>
    <row r="154" spans="1:19" ht="15.75" customHeight="1" x14ac:dyDescent="0.3">
      <c r="A154" s="9" t="s">
        <v>315</v>
      </c>
      <c r="B154" s="10">
        <v>45623</v>
      </c>
      <c r="C154" s="9" t="s">
        <v>132</v>
      </c>
      <c r="D154" s="9" t="s">
        <v>133</v>
      </c>
      <c r="E154" s="9" t="s">
        <v>64</v>
      </c>
      <c r="F154" s="9" t="s">
        <v>65</v>
      </c>
      <c r="G154" s="9" t="s">
        <v>66</v>
      </c>
      <c r="H154" s="9">
        <v>2</v>
      </c>
      <c r="I154" s="11">
        <v>149.99</v>
      </c>
      <c r="J154" s="9" t="s">
        <v>40</v>
      </c>
      <c r="K154" s="9" t="s">
        <v>55</v>
      </c>
      <c r="L154" s="9" t="s">
        <v>56</v>
      </c>
      <c r="M154" s="10">
        <v>45101</v>
      </c>
      <c r="N154" s="11">
        <v>299.98</v>
      </c>
      <c r="O154" s="12" t="str">
        <f t="shared" si="10"/>
        <v>2024-11</v>
      </c>
      <c r="P154" s="12">
        <f t="shared" si="11"/>
        <v>2024</v>
      </c>
      <c r="Q154" s="12">
        <f t="shared" si="12"/>
        <v>1</v>
      </c>
      <c r="R154" s="12" t="str">
        <f t="shared" si="13"/>
        <v>LM</v>
      </c>
      <c r="S154" s="13">
        <f t="shared" ca="1" si="14"/>
        <v>46309.658403472225</v>
      </c>
    </row>
    <row r="155" spans="1:19" ht="15.75" customHeight="1" x14ac:dyDescent="0.3">
      <c r="A155" s="9" t="s">
        <v>316</v>
      </c>
      <c r="B155" s="10">
        <v>45627</v>
      </c>
      <c r="C155" s="9" t="s">
        <v>49</v>
      </c>
      <c r="D155" s="9" t="s">
        <v>50</v>
      </c>
      <c r="E155" s="9" t="s">
        <v>125</v>
      </c>
      <c r="F155" s="9" t="s">
        <v>126</v>
      </c>
      <c r="G155" s="9" t="s">
        <v>66</v>
      </c>
      <c r="H155" s="9">
        <v>3</v>
      </c>
      <c r="I155" s="11">
        <v>299.99</v>
      </c>
      <c r="J155" s="9" t="s">
        <v>40</v>
      </c>
      <c r="K155" s="9" t="s">
        <v>55</v>
      </c>
      <c r="L155" s="9" t="s">
        <v>47</v>
      </c>
      <c r="M155" s="10">
        <v>44659</v>
      </c>
      <c r="N155" s="11">
        <v>899.97</v>
      </c>
      <c r="O155" s="12" t="str">
        <f t="shared" si="10"/>
        <v>2024-12</v>
      </c>
      <c r="P155" s="12">
        <f t="shared" si="11"/>
        <v>2024</v>
      </c>
      <c r="Q155" s="12">
        <f t="shared" si="12"/>
        <v>2</v>
      </c>
      <c r="R155" s="12" t="str">
        <f t="shared" si="13"/>
        <v>KS</v>
      </c>
      <c r="S155" s="13">
        <f t="shared" ca="1" si="14"/>
        <v>46309.658403472225</v>
      </c>
    </row>
    <row r="156" spans="1:19" ht="15.75" customHeight="1" x14ac:dyDescent="0.3">
      <c r="A156" s="9" t="s">
        <v>317</v>
      </c>
      <c r="B156" s="10">
        <v>45627</v>
      </c>
      <c r="C156" s="9" t="s">
        <v>75</v>
      </c>
      <c r="D156" s="9" t="s">
        <v>76</v>
      </c>
      <c r="E156" s="9" t="s">
        <v>37</v>
      </c>
      <c r="F156" s="9" t="s">
        <v>38</v>
      </c>
      <c r="G156" s="9" t="s">
        <v>39</v>
      </c>
      <c r="H156" s="9">
        <v>5</v>
      </c>
      <c r="I156" s="11">
        <v>249.99</v>
      </c>
      <c r="J156" s="9" t="s">
        <v>40</v>
      </c>
      <c r="K156" s="9" t="s">
        <v>41</v>
      </c>
      <c r="L156" s="9" t="s">
        <v>47</v>
      </c>
      <c r="M156" s="10">
        <v>44485</v>
      </c>
      <c r="N156" s="11">
        <v>1249.95</v>
      </c>
      <c r="O156" s="12" t="str">
        <f t="shared" si="10"/>
        <v>2024-12</v>
      </c>
      <c r="P156" s="12">
        <f t="shared" si="11"/>
        <v>2024</v>
      </c>
      <c r="Q156" s="12">
        <f t="shared" si="12"/>
        <v>3</v>
      </c>
      <c r="R156" s="12" t="str">
        <f t="shared" si="13"/>
        <v>CA</v>
      </c>
      <c r="S156" s="13">
        <f t="shared" ca="1" si="14"/>
        <v>46309.658403472225</v>
      </c>
    </row>
    <row r="157" spans="1:19" ht="15.75" customHeight="1" x14ac:dyDescent="0.3">
      <c r="A157" s="9" t="s">
        <v>318</v>
      </c>
      <c r="B157" s="10">
        <v>45627</v>
      </c>
      <c r="C157" s="9" t="s">
        <v>44</v>
      </c>
      <c r="D157" s="9" t="s">
        <v>45</v>
      </c>
      <c r="E157" s="9" t="s">
        <v>72</v>
      </c>
      <c r="F157" s="9" t="s">
        <v>73</v>
      </c>
      <c r="G157" s="9" t="s">
        <v>39</v>
      </c>
      <c r="H157" s="9">
        <v>2</v>
      </c>
      <c r="I157" s="11">
        <v>149.99</v>
      </c>
      <c r="J157" s="9" t="s">
        <v>40</v>
      </c>
      <c r="K157" s="9" t="s">
        <v>55</v>
      </c>
      <c r="L157" s="9" t="s">
        <v>47</v>
      </c>
      <c r="M157" s="10">
        <v>44475</v>
      </c>
      <c r="N157" s="11">
        <v>299.98</v>
      </c>
      <c r="O157" s="12" t="str">
        <f t="shared" si="10"/>
        <v>2024-12</v>
      </c>
      <c r="P157" s="12">
        <f t="shared" si="11"/>
        <v>2024</v>
      </c>
      <c r="Q157" s="12">
        <f t="shared" si="12"/>
        <v>3</v>
      </c>
      <c r="R157" s="12" t="str">
        <f t="shared" si="13"/>
        <v>JJ</v>
      </c>
      <c r="S157" s="13">
        <f t="shared" ca="1" si="14"/>
        <v>46309.658403472225</v>
      </c>
    </row>
    <row r="158" spans="1:19" ht="15.75" customHeight="1" x14ac:dyDescent="0.3">
      <c r="A158" s="9" t="s">
        <v>319</v>
      </c>
      <c r="B158" s="10">
        <v>45627</v>
      </c>
      <c r="C158" s="9" t="s">
        <v>106</v>
      </c>
      <c r="D158" s="9" t="s">
        <v>107</v>
      </c>
      <c r="E158" s="9" t="s">
        <v>100</v>
      </c>
      <c r="F158" s="9" t="s">
        <v>101</v>
      </c>
      <c r="G158" s="9" t="s">
        <v>39</v>
      </c>
      <c r="H158" s="9">
        <v>5</v>
      </c>
      <c r="I158" s="11">
        <v>699.99</v>
      </c>
      <c r="J158" s="9" t="s">
        <v>77</v>
      </c>
      <c r="K158" s="9" t="s">
        <v>70</v>
      </c>
      <c r="L158" s="9" t="s">
        <v>56</v>
      </c>
      <c r="M158" s="10">
        <v>44944</v>
      </c>
      <c r="N158" s="11">
        <v>3499.95</v>
      </c>
      <c r="O158" s="12" t="str">
        <f t="shared" si="10"/>
        <v>2024-12</v>
      </c>
      <c r="P158" s="12">
        <f t="shared" si="11"/>
        <v>2024</v>
      </c>
      <c r="Q158" s="12">
        <f t="shared" si="12"/>
        <v>1</v>
      </c>
      <c r="R158" s="12" t="str">
        <f t="shared" si="13"/>
        <v>MC</v>
      </c>
      <c r="S158" s="13">
        <f t="shared" ca="1" si="14"/>
        <v>46309.658403472225</v>
      </c>
    </row>
    <row r="159" spans="1:19" ht="15.75" customHeight="1" x14ac:dyDescent="0.3">
      <c r="A159" s="9" t="s">
        <v>320</v>
      </c>
      <c r="B159" s="10">
        <v>45629</v>
      </c>
      <c r="C159" s="9" t="s">
        <v>272</v>
      </c>
      <c r="D159" s="9" t="s">
        <v>273</v>
      </c>
      <c r="E159" s="9" t="s">
        <v>37</v>
      </c>
      <c r="F159" s="9" t="s">
        <v>38</v>
      </c>
      <c r="G159" s="9" t="s">
        <v>39</v>
      </c>
      <c r="H159" s="9">
        <v>4</v>
      </c>
      <c r="I159" s="11">
        <v>249.99</v>
      </c>
      <c r="J159" s="9" t="s">
        <v>54</v>
      </c>
      <c r="K159" s="9" t="s">
        <v>83</v>
      </c>
      <c r="L159" s="9" t="s">
        <v>47</v>
      </c>
      <c r="M159" s="10">
        <v>45098</v>
      </c>
      <c r="N159" s="11">
        <v>999.96</v>
      </c>
      <c r="O159" s="12" t="str">
        <f t="shared" si="10"/>
        <v>2024-12</v>
      </c>
      <c r="P159" s="12">
        <f t="shared" si="11"/>
        <v>2024</v>
      </c>
      <c r="Q159" s="12">
        <f t="shared" si="12"/>
        <v>1</v>
      </c>
      <c r="R159" s="12" t="str">
        <f t="shared" si="13"/>
        <v>WW</v>
      </c>
      <c r="S159" s="13">
        <f t="shared" ca="1" si="14"/>
        <v>46309.658403472225</v>
      </c>
    </row>
    <row r="160" spans="1:19" ht="15.75" customHeight="1" x14ac:dyDescent="0.3">
      <c r="A160" s="9" t="s">
        <v>321</v>
      </c>
      <c r="B160" s="10">
        <v>45630</v>
      </c>
      <c r="C160" s="9" t="s">
        <v>68</v>
      </c>
      <c r="D160" s="9" t="s">
        <v>69</v>
      </c>
      <c r="E160" s="9" t="s">
        <v>100</v>
      </c>
      <c r="F160" s="9" t="s">
        <v>101</v>
      </c>
      <c r="G160" s="9" t="s">
        <v>39</v>
      </c>
      <c r="H160" s="9">
        <v>4</v>
      </c>
      <c r="I160" s="11">
        <v>699.99</v>
      </c>
      <c r="J160" s="9" t="s">
        <v>46</v>
      </c>
      <c r="K160" s="9" t="s">
        <v>60</v>
      </c>
      <c r="L160" s="9" t="s">
        <v>47</v>
      </c>
      <c r="M160" s="10">
        <v>44703</v>
      </c>
      <c r="N160" s="11">
        <v>2799.96</v>
      </c>
      <c r="O160" s="12" t="str">
        <f t="shared" si="10"/>
        <v>2024-12</v>
      </c>
      <c r="P160" s="12">
        <f t="shared" si="11"/>
        <v>2024</v>
      </c>
      <c r="Q160" s="12">
        <f t="shared" si="12"/>
        <v>2</v>
      </c>
      <c r="R160" s="12" t="str">
        <f t="shared" si="13"/>
        <v>DN</v>
      </c>
      <c r="S160" s="13">
        <f t="shared" ca="1" si="14"/>
        <v>46309.658403472225</v>
      </c>
    </row>
    <row r="161" spans="1:19" ht="15.75" customHeight="1" x14ac:dyDescent="0.3">
      <c r="A161" s="9" t="s">
        <v>322</v>
      </c>
      <c r="B161" s="10">
        <v>45635</v>
      </c>
      <c r="C161" s="9" t="s">
        <v>128</v>
      </c>
      <c r="D161" s="9" t="s">
        <v>129</v>
      </c>
      <c r="E161" s="9" t="s">
        <v>37</v>
      </c>
      <c r="F161" s="9" t="s">
        <v>38</v>
      </c>
      <c r="G161" s="9" t="s">
        <v>39</v>
      </c>
      <c r="H161" s="9">
        <v>2</v>
      </c>
      <c r="I161" s="11">
        <v>249.99</v>
      </c>
      <c r="J161" s="9" t="s">
        <v>46</v>
      </c>
      <c r="K161" s="9" t="s">
        <v>41</v>
      </c>
      <c r="L161" s="9" t="s">
        <v>47</v>
      </c>
      <c r="M161" s="10">
        <v>44396</v>
      </c>
      <c r="N161" s="11">
        <v>499.98</v>
      </c>
      <c r="O161" s="12" t="str">
        <f t="shared" si="10"/>
        <v>2024-12</v>
      </c>
      <c r="P161" s="12">
        <f t="shared" si="11"/>
        <v>2024</v>
      </c>
      <c r="Q161" s="12">
        <f t="shared" si="12"/>
        <v>3</v>
      </c>
      <c r="R161" s="12" t="str">
        <f t="shared" si="13"/>
        <v>NC</v>
      </c>
      <c r="S161" s="13">
        <f t="shared" ca="1" si="14"/>
        <v>46309.658403472225</v>
      </c>
    </row>
    <row r="162" spans="1:19" ht="15.75" customHeight="1" x14ac:dyDescent="0.3">
      <c r="A162" s="9" t="s">
        <v>323</v>
      </c>
      <c r="B162" s="10">
        <v>45635</v>
      </c>
      <c r="C162" s="9" t="s">
        <v>324</v>
      </c>
      <c r="D162" s="9" t="s">
        <v>325</v>
      </c>
      <c r="E162" s="9" t="s">
        <v>51</v>
      </c>
      <c r="F162" s="9" t="s">
        <v>52</v>
      </c>
      <c r="G162" s="9" t="s">
        <v>53</v>
      </c>
      <c r="H162" s="9">
        <v>3</v>
      </c>
      <c r="I162" s="11">
        <v>59.99</v>
      </c>
      <c r="J162" s="9" t="s">
        <v>40</v>
      </c>
      <c r="K162" s="9" t="s">
        <v>41</v>
      </c>
      <c r="L162" s="9" t="s">
        <v>47</v>
      </c>
      <c r="M162" s="10">
        <v>45052</v>
      </c>
      <c r="N162" s="11">
        <v>179.97</v>
      </c>
      <c r="O162" s="12" t="str">
        <f t="shared" si="10"/>
        <v>2024-12</v>
      </c>
      <c r="P162" s="12">
        <f t="shared" si="11"/>
        <v>2024</v>
      </c>
      <c r="Q162" s="12">
        <f t="shared" si="12"/>
        <v>1</v>
      </c>
      <c r="R162" s="12" t="str">
        <f t="shared" si="13"/>
        <v>JJ</v>
      </c>
      <c r="S162" s="13">
        <f t="shared" ca="1" si="14"/>
        <v>46309.658403472225</v>
      </c>
    </row>
    <row r="163" spans="1:19" ht="15.75" customHeight="1" x14ac:dyDescent="0.3">
      <c r="A163" s="9" t="s">
        <v>326</v>
      </c>
      <c r="B163" s="10">
        <v>45635</v>
      </c>
      <c r="C163" s="9" t="s">
        <v>161</v>
      </c>
      <c r="D163" s="9" t="s">
        <v>162</v>
      </c>
      <c r="E163" s="9" t="s">
        <v>134</v>
      </c>
      <c r="F163" s="9" t="s">
        <v>135</v>
      </c>
      <c r="G163" s="9" t="s">
        <v>53</v>
      </c>
      <c r="H163" s="9">
        <v>4</v>
      </c>
      <c r="I163" s="11">
        <v>79.989999999999995</v>
      </c>
      <c r="J163" s="9" t="s">
        <v>77</v>
      </c>
      <c r="K163" s="9" t="s">
        <v>83</v>
      </c>
      <c r="L163" s="9" t="s">
        <v>56</v>
      </c>
      <c r="M163" s="10">
        <v>44921</v>
      </c>
      <c r="N163" s="11">
        <v>319.95999999999998</v>
      </c>
      <c r="O163" s="12" t="str">
        <f t="shared" si="10"/>
        <v>2024-12</v>
      </c>
      <c r="P163" s="12">
        <f t="shared" si="11"/>
        <v>2024</v>
      </c>
      <c r="Q163" s="12">
        <f t="shared" si="12"/>
        <v>1</v>
      </c>
      <c r="R163" s="12" t="str">
        <f t="shared" si="13"/>
        <v>JT</v>
      </c>
      <c r="S163" s="13">
        <f t="shared" ca="1" si="14"/>
        <v>46309.658403472225</v>
      </c>
    </row>
    <row r="164" spans="1:19" ht="15.75" customHeight="1" x14ac:dyDescent="0.3">
      <c r="A164" s="9" t="s">
        <v>327</v>
      </c>
      <c r="B164" s="10">
        <v>45636</v>
      </c>
      <c r="C164" s="9" t="s">
        <v>140</v>
      </c>
      <c r="D164" s="9" t="s">
        <v>141</v>
      </c>
      <c r="E164" s="9" t="s">
        <v>134</v>
      </c>
      <c r="F164" s="9" t="s">
        <v>135</v>
      </c>
      <c r="G164" s="9" t="s">
        <v>53</v>
      </c>
      <c r="H164" s="9">
        <v>3</v>
      </c>
      <c r="I164" s="11">
        <v>79.989999999999995</v>
      </c>
      <c r="J164" s="9" t="s">
        <v>77</v>
      </c>
      <c r="K164" s="9" t="s">
        <v>83</v>
      </c>
      <c r="L164" s="9" t="s">
        <v>56</v>
      </c>
      <c r="M164" s="10">
        <v>44779</v>
      </c>
      <c r="N164" s="11">
        <v>239.97</v>
      </c>
      <c r="O164" s="12" t="str">
        <f t="shared" si="10"/>
        <v>2024-12</v>
      </c>
      <c r="P164" s="12">
        <f t="shared" si="11"/>
        <v>2024</v>
      </c>
      <c r="Q164" s="12">
        <f t="shared" si="12"/>
        <v>2</v>
      </c>
      <c r="R164" s="12" t="str">
        <f t="shared" si="13"/>
        <v>HR</v>
      </c>
      <c r="S164" s="13">
        <f t="shared" ca="1" si="14"/>
        <v>46309.658403472225</v>
      </c>
    </row>
    <row r="165" spans="1:19" ht="15.75" customHeight="1" x14ac:dyDescent="0.3">
      <c r="A165" s="9" t="s">
        <v>328</v>
      </c>
      <c r="B165" s="10">
        <v>45638</v>
      </c>
      <c r="C165" s="9" t="s">
        <v>92</v>
      </c>
      <c r="D165" s="9" t="s">
        <v>93</v>
      </c>
      <c r="E165" s="9" t="s">
        <v>81</v>
      </c>
      <c r="F165" s="9" t="s">
        <v>82</v>
      </c>
      <c r="G165" s="9" t="s">
        <v>39</v>
      </c>
      <c r="H165" s="9">
        <v>2</v>
      </c>
      <c r="I165" s="11">
        <v>899.99</v>
      </c>
      <c r="J165" s="9" t="s">
        <v>40</v>
      </c>
      <c r="K165" s="9" t="s">
        <v>60</v>
      </c>
      <c r="L165" s="9" t="s">
        <v>42</v>
      </c>
      <c r="M165" s="10">
        <v>44406</v>
      </c>
      <c r="N165" s="11">
        <v>1799.98</v>
      </c>
      <c r="O165" s="12" t="str">
        <f t="shared" si="10"/>
        <v>2024-12</v>
      </c>
      <c r="P165" s="12">
        <f t="shared" si="11"/>
        <v>2024</v>
      </c>
      <c r="Q165" s="12">
        <f t="shared" si="12"/>
        <v>3</v>
      </c>
      <c r="R165" s="12" t="str">
        <f t="shared" si="13"/>
        <v>PR</v>
      </c>
      <c r="S165" s="13">
        <f t="shared" ca="1" si="14"/>
        <v>46309.658403472225</v>
      </c>
    </row>
    <row r="166" spans="1:19" ht="15.75" customHeight="1" x14ac:dyDescent="0.3">
      <c r="A166" s="9" t="s">
        <v>329</v>
      </c>
      <c r="B166" s="10">
        <v>45641</v>
      </c>
      <c r="C166" s="9" t="s">
        <v>202</v>
      </c>
      <c r="D166" s="9" t="s">
        <v>203</v>
      </c>
      <c r="E166" s="9" t="s">
        <v>64</v>
      </c>
      <c r="F166" s="9" t="s">
        <v>65</v>
      </c>
      <c r="G166" s="9" t="s">
        <v>66</v>
      </c>
      <c r="H166" s="9">
        <v>1</v>
      </c>
      <c r="I166" s="11">
        <v>149.99</v>
      </c>
      <c r="J166" s="9" t="s">
        <v>77</v>
      </c>
      <c r="K166" s="9" t="s">
        <v>83</v>
      </c>
      <c r="L166" s="9" t="s">
        <v>56</v>
      </c>
      <c r="M166" s="10">
        <v>45200</v>
      </c>
      <c r="N166" s="11">
        <v>149.99</v>
      </c>
      <c r="O166" s="12" t="str">
        <f t="shared" si="10"/>
        <v>2024-12</v>
      </c>
      <c r="P166" s="12">
        <f t="shared" si="11"/>
        <v>2024</v>
      </c>
      <c r="Q166" s="12">
        <f t="shared" si="12"/>
        <v>1</v>
      </c>
      <c r="R166" s="12" t="str">
        <f t="shared" si="13"/>
        <v>DM</v>
      </c>
      <c r="S166" s="13">
        <f t="shared" ca="1" si="14"/>
        <v>46309.658403472225</v>
      </c>
    </row>
    <row r="167" spans="1:19" ht="15.75" customHeight="1" x14ac:dyDescent="0.3">
      <c r="A167" s="9" t="s">
        <v>330</v>
      </c>
      <c r="B167" s="10">
        <v>45641</v>
      </c>
      <c r="C167" s="9" t="s">
        <v>158</v>
      </c>
      <c r="D167" s="9" t="s">
        <v>159</v>
      </c>
      <c r="E167" s="9" t="s">
        <v>125</v>
      </c>
      <c r="F167" s="9" t="s">
        <v>126</v>
      </c>
      <c r="G167" s="9" t="s">
        <v>66</v>
      </c>
      <c r="H167" s="9">
        <v>2</v>
      </c>
      <c r="I167" s="11">
        <v>299.99</v>
      </c>
      <c r="J167" s="9" t="s">
        <v>40</v>
      </c>
      <c r="K167" s="9" t="s">
        <v>83</v>
      </c>
      <c r="L167" s="9" t="s">
        <v>47</v>
      </c>
      <c r="M167" s="10">
        <v>44724</v>
      </c>
      <c r="N167" s="11">
        <v>599.98</v>
      </c>
      <c r="O167" s="12" t="str">
        <f t="shared" si="10"/>
        <v>2024-12</v>
      </c>
      <c r="P167" s="12">
        <f t="shared" si="11"/>
        <v>2024</v>
      </c>
      <c r="Q167" s="12">
        <f t="shared" si="12"/>
        <v>2</v>
      </c>
      <c r="R167" s="12" t="str">
        <f t="shared" si="13"/>
        <v>ST</v>
      </c>
      <c r="S167" s="13">
        <f t="shared" ca="1" si="14"/>
        <v>46309.658403472225</v>
      </c>
    </row>
    <row r="168" spans="1:19" ht="15.75" customHeight="1" x14ac:dyDescent="0.3">
      <c r="A168" s="9" t="s">
        <v>331</v>
      </c>
      <c r="B168" s="10">
        <v>45644</v>
      </c>
      <c r="C168" s="9" t="s">
        <v>152</v>
      </c>
      <c r="D168" s="9" t="s">
        <v>153</v>
      </c>
      <c r="E168" s="9" t="s">
        <v>51</v>
      </c>
      <c r="F168" s="9" t="s">
        <v>52</v>
      </c>
      <c r="G168" s="9" t="s">
        <v>53</v>
      </c>
      <c r="H168" s="9">
        <v>2</v>
      </c>
      <c r="I168" s="11">
        <v>59.99</v>
      </c>
      <c r="J168" s="9" t="s">
        <v>40</v>
      </c>
      <c r="K168" s="9" t="s">
        <v>70</v>
      </c>
      <c r="L168" s="9" t="s">
        <v>42</v>
      </c>
      <c r="M168" s="10">
        <v>45191</v>
      </c>
      <c r="N168" s="11">
        <v>119.98</v>
      </c>
      <c r="O168" s="12" t="str">
        <f t="shared" si="10"/>
        <v>2024-12</v>
      </c>
      <c r="P168" s="12">
        <f t="shared" si="11"/>
        <v>2024</v>
      </c>
      <c r="Q168" s="12">
        <f t="shared" si="12"/>
        <v>1</v>
      </c>
      <c r="R168" s="12" t="str">
        <f t="shared" si="13"/>
        <v>EW</v>
      </c>
      <c r="S168" s="13">
        <f t="shared" ca="1" si="14"/>
        <v>46309.658403472225</v>
      </c>
    </row>
    <row r="169" spans="1:19" ht="15.75" customHeight="1" x14ac:dyDescent="0.3">
      <c r="A169" s="9" t="s">
        <v>332</v>
      </c>
      <c r="B169" s="10">
        <v>45645</v>
      </c>
      <c r="C169" s="9" t="s">
        <v>202</v>
      </c>
      <c r="D169" s="9" t="s">
        <v>203</v>
      </c>
      <c r="E169" s="9" t="s">
        <v>137</v>
      </c>
      <c r="F169" s="9" t="s">
        <v>138</v>
      </c>
      <c r="G169" s="9" t="s">
        <v>39</v>
      </c>
      <c r="H169" s="9">
        <v>1</v>
      </c>
      <c r="I169" s="11">
        <v>89.99</v>
      </c>
      <c r="J169" s="9" t="s">
        <v>77</v>
      </c>
      <c r="K169" s="9" t="s">
        <v>41</v>
      </c>
      <c r="L169" s="9" t="s">
        <v>56</v>
      </c>
      <c r="M169" s="10">
        <v>44760</v>
      </c>
      <c r="N169" s="11">
        <v>89.99</v>
      </c>
      <c r="O169" s="12" t="str">
        <f t="shared" si="10"/>
        <v>2024-12</v>
      </c>
      <c r="P169" s="12">
        <f t="shared" si="11"/>
        <v>2024</v>
      </c>
      <c r="Q169" s="12">
        <f t="shared" si="12"/>
        <v>2</v>
      </c>
      <c r="R169" s="12" t="str">
        <f t="shared" si="13"/>
        <v>DM</v>
      </c>
      <c r="S169" s="13">
        <f t="shared" ca="1" si="14"/>
        <v>46309.658403472225</v>
      </c>
    </row>
    <row r="170" spans="1:19" ht="15.75" customHeight="1" x14ac:dyDescent="0.3">
      <c r="A170" s="9" t="s">
        <v>333</v>
      </c>
      <c r="B170" s="10">
        <v>45645</v>
      </c>
      <c r="C170" s="9" t="s">
        <v>167</v>
      </c>
      <c r="D170" s="9" t="s">
        <v>168</v>
      </c>
      <c r="E170" s="9" t="s">
        <v>81</v>
      </c>
      <c r="F170" s="9" t="s">
        <v>82</v>
      </c>
      <c r="G170" s="9" t="s">
        <v>39</v>
      </c>
      <c r="H170" s="9">
        <v>5</v>
      </c>
      <c r="I170" s="11">
        <v>899.99</v>
      </c>
      <c r="J170" s="9" t="s">
        <v>77</v>
      </c>
      <c r="K170" s="9" t="s">
        <v>83</v>
      </c>
      <c r="L170" s="9" t="s">
        <v>56</v>
      </c>
      <c r="M170" s="10">
        <v>44625</v>
      </c>
      <c r="N170" s="11">
        <v>4499.95</v>
      </c>
      <c r="O170" s="12" t="str">
        <f t="shared" si="10"/>
        <v>2024-12</v>
      </c>
      <c r="P170" s="12">
        <f t="shared" si="11"/>
        <v>2024</v>
      </c>
      <c r="Q170" s="12">
        <f t="shared" si="12"/>
        <v>2</v>
      </c>
      <c r="R170" s="12" t="str">
        <f t="shared" si="13"/>
        <v>DK</v>
      </c>
      <c r="S170" s="13">
        <f t="shared" ca="1" si="14"/>
        <v>46309.658403472225</v>
      </c>
    </row>
    <row r="171" spans="1:19" ht="15.75" customHeight="1" x14ac:dyDescent="0.3">
      <c r="A171" s="9" t="s">
        <v>334</v>
      </c>
      <c r="B171" s="10">
        <v>45646</v>
      </c>
      <c r="C171" s="9" t="s">
        <v>62</v>
      </c>
      <c r="D171" s="9" t="s">
        <v>63</v>
      </c>
      <c r="E171" s="9" t="s">
        <v>64</v>
      </c>
      <c r="F171" s="9" t="s">
        <v>65</v>
      </c>
      <c r="G171" s="9" t="s">
        <v>66</v>
      </c>
      <c r="H171" s="9">
        <v>2</v>
      </c>
      <c r="I171" s="11">
        <v>149.99</v>
      </c>
      <c r="J171" s="9" t="s">
        <v>40</v>
      </c>
      <c r="K171" s="9" t="s">
        <v>55</v>
      </c>
      <c r="L171" s="9" t="s">
        <v>42</v>
      </c>
      <c r="M171" s="10">
        <v>45239</v>
      </c>
      <c r="N171" s="11">
        <v>299.98</v>
      </c>
      <c r="O171" s="12" t="str">
        <f t="shared" si="10"/>
        <v>2024-12</v>
      </c>
      <c r="P171" s="12">
        <f t="shared" si="11"/>
        <v>2024</v>
      </c>
      <c r="Q171" s="12">
        <f t="shared" si="12"/>
        <v>1</v>
      </c>
      <c r="R171" s="12" t="str">
        <f t="shared" si="13"/>
        <v>MB</v>
      </c>
      <c r="S171" s="13">
        <f t="shared" ca="1" si="14"/>
        <v>46309.658403472225</v>
      </c>
    </row>
    <row r="172" spans="1:19" ht="15.75" customHeight="1" x14ac:dyDescent="0.3">
      <c r="A172" s="9" t="s">
        <v>335</v>
      </c>
      <c r="B172" s="10">
        <v>45648</v>
      </c>
      <c r="C172" s="9" t="s">
        <v>132</v>
      </c>
      <c r="D172" s="9" t="s">
        <v>133</v>
      </c>
      <c r="E172" s="9" t="s">
        <v>72</v>
      </c>
      <c r="F172" s="9" t="s">
        <v>73</v>
      </c>
      <c r="G172" s="9" t="s">
        <v>39</v>
      </c>
      <c r="H172" s="9">
        <v>2</v>
      </c>
      <c r="I172" s="11">
        <v>149.99</v>
      </c>
      <c r="J172" s="9" t="s">
        <v>77</v>
      </c>
      <c r="K172" s="9" t="s">
        <v>70</v>
      </c>
      <c r="L172" s="9" t="s">
        <v>47</v>
      </c>
      <c r="M172" s="10">
        <v>45280</v>
      </c>
      <c r="N172" s="11">
        <v>299.98</v>
      </c>
      <c r="O172" s="12" t="str">
        <f t="shared" si="10"/>
        <v>2024-12</v>
      </c>
      <c r="P172" s="12">
        <f t="shared" si="11"/>
        <v>2024</v>
      </c>
      <c r="Q172" s="12">
        <f t="shared" si="12"/>
        <v>1</v>
      </c>
      <c r="R172" s="12" t="str">
        <f t="shared" si="13"/>
        <v>LM</v>
      </c>
      <c r="S172" s="13">
        <f t="shared" ca="1" si="14"/>
        <v>46309.658403472225</v>
      </c>
    </row>
    <row r="173" spans="1:19" ht="15.75" customHeight="1" x14ac:dyDescent="0.3">
      <c r="A173" s="9" t="s">
        <v>336</v>
      </c>
      <c r="B173" s="10">
        <v>45648</v>
      </c>
      <c r="C173" s="9" t="s">
        <v>202</v>
      </c>
      <c r="D173" s="9" t="s">
        <v>203</v>
      </c>
      <c r="E173" s="9" t="s">
        <v>64</v>
      </c>
      <c r="F173" s="9" t="s">
        <v>65</v>
      </c>
      <c r="G173" s="9" t="s">
        <v>66</v>
      </c>
      <c r="H173" s="9">
        <v>3</v>
      </c>
      <c r="I173" s="11">
        <v>149.99</v>
      </c>
      <c r="J173" s="9" t="s">
        <v>77</v>
      </c>
      <c r="K173" s="9" t="s">
        <v>60</v>
      </c>
      <c r="L173" s="9" t="s">
        <v>56</v>
      </c>
      <c r="M173" s="10">
        <v>44522</v>
      </c>
      <c r="N173" s="11">
        <v>449.97</v>
      </c>
      <c r="O173" s="12" t="str">
        <f t="shared" si="10"/>
        <v>2024-12</v>
      </c>
      <c r="P173" s="12">
        <f t="shared" si="11"/>
        <v>2024</v>
      </c>
      <c r="Q173" s="12">
        <f t="shared" si="12"/>
        <v>3</v>
      </c>
      <c r="R173" s="12" t="str">
        <f t="shared" si="13"/>
        <v>DM</v>
      </c>
      <c r="S173" s="13">
        <f t="shared" ca="1" si="14"/>
        <v>46309.658403472225</v>
      </c>
    </row>
    <row r="174" spans="1:19" ht="15.75" customHeight="1" x14ac:dyDescent="0.3">
      <c r="A174" s="9" t="s">
        <v>337</v>
      </c>
      <c r="B174" s="10">
        <v>45649</v>
      </c>
      <c r="C174" s="9" t="s">
        <v>49</v>
      </c>
      <c r="D174" s="9" t="s">
        <v>50</v>
      </c>
      <c r="E174" s="9" t="s">
        <v>125</v>
      </c>
      <c r="F174" s="9" t="s">
        <v>126</v>
      </c>
      <c r="G174" s="9" t="s">
        <v>66</v>
      </c>
      <c r="H174" s="9">
        <v>2</v>
      </c>
      <c r="I174" s="11">
        <v>299.99</v>
      </c>
      <c r="J174" s="9" t="s">
        <v>54</v>
      </c>
      <c r="K174" s="9" t="s">
        <v>55</v>
      </c>
      <c r="L174" s="9" t="s">
        <v>42</v>
      </c>
      <c r="M174" s="10">
        <v>44721</v>
      </c>
      <c r="N174" s="11">
        <v>599.98</v>
      </c>
      <c r="O174" s="12" t="str">
        <f t="shared" si="10"/>
        <v>2024-12</v>
      </c>
      <c r="P174" s="12">
        <f t="shared" si="11"/>
        <v>2024</v>
      </c>
      <c r="Q174" s="12">
        <f t="shared" si="12"/>
        <v>2</v>
      </c>
      <c r="R174" s="12" t="str">
        <f t="shared" si="13"/>
        <v>KS</v>
      </c>
      <c r="S174" s="13">
        <f t="shared" ca="1" si="14"/>
        <v>46309.658403472225</v>
      </c>
    </row>
    <row r="175" spans="1:19" ht="15.75" customHeight="1" x14ac:dyDescent="0.3">
      <c r="A175" s="9" t="s">
        <v>338</v>
      </c>
      <c r="B175" s="10">
        <v>45654</v>
      </c>
      <c r="C175" s="9" t="s">
        <v>62</v>
      </c>
      <c r="D175" s="9" t="s">
        <v>63</v>
      </c>
      <c r="E175" s="9" t="s">
        <v>125</v>
      </c>
      <c r="F175" s="9" t="s">
        <v>126</v>
      </c>
      <c r="G175" s="9" t="s">
        <v>66</v>
      </c>
      <c r="H175" s="9">
        <v>2</v>
      </c>
      <c r="I175" s="11">
        <v>299.99</v>
      </c>
      <c r="J175" s="9" t="s">
        <v>40</v>
      </c>
      <c r="K175" s="9" t="s">
        <v>70</v>
      </c>
      <c r="L175" s="9" t="s">
        <v>42</v>
      </c>
      <c r="M175" s="10">
        <v>44771</v>
      </c>
      <c r="N175" s="11">
        <v>599.98</v>
      </c>
      <c r="O175" s="12" t="str">
        <f t="shared" si="10"/>
        <v>2024-12</v>
      </c>
      <c r="P175" s="12">
        <f t="shared" si="11"/>
        <v>2024</v>
      </c>
      <c r="Q175" s="12">
        <f t="shared" si="12"/>
        <v>2</v>
      </c>
      <c r="R175" s="12" t="str">
        <f t="shared" si="13"/>
        <v>MB</v>
      </c>
      <c r="S175" s="13">
        <f t="shared" ca="1" si="14"/>
        <v>46309.658403472225</v>
      </c>
    </row>
    <row r="176" spans="1:19" ht="15.75" customHeight="1" x14ac:dyDescent="0.3">
      <c r="A176" s="9" t="s">
        <v>339</v>
      </c>
      <c r="B176" s="10">
        <v>45654</v>
      </c>
      <c r="C176" s="9" t="s">
        <v>140</v>
      </c>
      <c r="D176" s="9" t="s">
        <v>141</v>
      </c>
      <c r="E176" s="9" t="s">
        <v>146</v>
      </c>
      <c r="F176" s="9" t="s">
        <v>147</v>
      </c>
      <c r="G176" s="9" t="s">
        <v>66</v>
      </c>
      <c r="H176" s="9">
        <v>4</v>
      </c>
      <c r="I176" s="11">
        <v>199.99</v>
      </c>
      <c r="J176" s="9" t="s">
        <v>46</v>
      </c>
      <c r="K176" s="9" t="s">
        <v>41</v>
      </c>
      <c r="L176" s="9" t="s">
        <v>42</v>
      </c>
      <c r="M176" s="10">
        <v>44523</v>
      </c>
      <c r="N176" s="11">
        <v>799.96</v>
      </c>
      <c r="O176" s="12" t="str">
        <f t="shared" si="10"/>
        <v>2024-12</v>
      </c>
      <c r="P176" s="12">
        <f t="shared" si="11"/>
        <v>2024</v>
      </c>
      <c r="Q176" s="12">
        <f t="shared" si="12"/>
        <v>3</v>
      </c>
      <c r="R176" s="12" t="str">
        <f t="shared" si="13"/>
        <v>HR</v>
      </c>
      <c r="S176" s="13">
        <f t="shared" ca="1" si="14"/>
        <v>46309.658403472225</v>
      </c>
    </row>
    <row r="177" spans="1:19" ht="15.75" customHeight="1" x14ac:dyDescent="0.3">
      <c r="A177" s="9" t="s">
        <v>340</v>
      </c>
      <c r="B177" s="10">
        <v>45655</v>
      </c>
      <c r="C177" s="9" t="s">
        <v>79</v>
      </c>
      <c r="D177" s="9" t="s">
        <v>80</v>
      </c>
      <c r="E177" s="9" t="s">
        <v>137</v>
      </c>
      <c r="F177" s="9" t="s">
        <v>138</v>
      </c>
      <c r="G177" s="9" t="s">
        <v>39</v>
      </c>
      <c r="H177" s="9">
        <v>1</v>
      </c>
      <c r="I177" s="11">
        <v>89.99</v>
      </c>
      <c r="J177" s="9" t="s">
        <v>46</v>
      </c>
      <c r="K177" s="9" t="s">
        <v>55</v>
      </c>
      <c r="L177" s="9" t="s">
        <v>47</v>
      </c>
      <c r="M177" s="10">
        <v>44591</v>
      </c>
      <c r="N177" s="11">
        <v>89.99</v>
      </c>
      <c r="O177" s="12" t="str">
        <f t="shared" si="10"/>
        <v>2024-12</v>
      </c>
      <c r="P177" s="12">
        <f t="shared" si="11"/>
        <v>2024</v>
      </c>
      <c r="Q177" s="12">
        <f t="shared" si="12"/>
        <v>2</v>
      </c>
      <c r="R177" s="12" t="str">
        <f t="shared" si="13"/>
        <v>RT</v>
      </c>
      <c r="S177" s="13">
        <f t="shared" ca="1" si="14"/>
        <v>46309.658403472225</v>
      </c>
    </row>
    <row r="178" spans="1:19" ht="15.75" customHeight="1" x14ac:dyDescent="0.3">
      <c r="A178" s="9" t="s">
        <v>341</v>
      </c>
      <c r="B178" s="10">
        <v>45655</v>
      </c>
      <c r="C178" s="9" t="s">
        <v>128</v>
      </c>
      <c r="D178" s="9" t="s">
        <v>129</v>
      </c>
      <c r="E178" s="9" t="s">
        <v>64</v>
      </c>
      <c r="F178" s="9" t="s">
        <v>65</v>
      </c>
      <c r="G178" s="9" t="s">
        <v>66</v>
      </c>
      <c r="H178" s="9">
        <v>5</v>
      </c>
      <c r="I178" s="11">
        <v>149.99</v>
      </c>
      <c r="J178" s="9" t="s">
        <v>40</v>
      </c>
      <c r="K178" s="9" t="s">
        <v>41</v>
      </c>
      <c r="L178" s="9" t="s">
        <v>47</v>
      </c>
      <c r="M178" s="10">
        <v>45347</v>
      </c>
      <c r="N178" s="11">
        <v>749.95</v>
      </c>
      <c r="O178" s="12" t="str">
        <f t="shared" si="10"/>
        <v>2024-12</v>
      </c>
      <c r="P178" s="12">
        <f t="shared" si="11"/>
        <v>2024</v>
      </c>
      <c r="Q178" s="12">
        <f t="shared" si="12"/>
        <v>0</v>
      </c>
      <c r="R178" s="12" t="str">
        <f t="shared" si="13"/>
        <v>NC</v>
      </c>
      <c r="S178" s="13">
        <f t="shared" ca="1" si="14"/>
        <v>46309.658403472225</v>
      </c>
    </row>
    <row r="179" spans="1:19" ht="15.75" customHeight="1" x14ac:dyDescent="0.3">
      <c r="A179" s="9" t="s">
        <v>342</v>
      </c>
      <c r="B179" s="10">
        <v>45657</v>
      </c>
      <c r="C179" s="9" t="s">
        <v>106</v>
      </c>
      <c r="D179" s="9" t="s">
        <v>107</v>
      </c>
      <c r="E179" s="9" t="s">
        <v>81</v>
      </c>
      <c r="F179" s="9" t="s">
        <v>82</v>
      </c>
      <c r="G179" s="9" t="s">
        <v>39</v>
      </c>
      <c r="H179" s="9">
        <v>1</v>
      </c>
      <c r="I179" s="11">
        <v>899.99</v>
      </c>
      <c r="J179" s="9" t="s">
        <v>54</v>
      </c>
      <c r="K179" s="9" t="s">
        <v>60</v>
      </c>
      <c r="L179" s="9" t="s">
        <v>47</v>
      </c>
      <c r="M179" s="10">
        <v>45050</v>
      </c>
      <c r="N179" s="11">
        <v>899.99</v>
      </c>
      <c r="O179" s="12" t="str">
        <f t="shared" si="10"/>
        <v>2024-12</v>
      </c>
      <c r="P179" s="12">
        <f t="shared" si="11"/>
        <v>2024</v>
      </c>
      <c r="Q179" s="12">
        <f t="shared" si="12"/>
        <v>1</v>
      </c>
      <c r="R179" s="12" t="str">
        <f t="shared" si="13"/>
        <v>MC</v>
      </c>
      <c r="S179" s="13">
        <f t="shared" ca="1" si="14"/>
        <v>46309.658403472225</v>
      </c>
    </row>
    <row r="180" spans="1:19" ht="15.75" customHeight="1" x14ac:dyDescent="0.3">
      <c r="A180" s="9" t="s">
        <v>343</v>
      </c>
      <c r="B180" s="10">
        <v>45660</v>
      </c>
      <c r="C180" s="9" t="s">
        <v>167</v>
      </c>
      <c r="D180" s="9" t="s">
        <v>168</v>
      </c>
      <c r="E180" s="9" t="s">
        <v>137</v>
      </c>
      <c r="F180" s="9" t="s">
        <v>138</v>
      </c>
      <c r="G180" s="9" t="s">
        <v>39</v>
      </c>
      <c r="H180" s="9">
        <v>2</v>
      </c>
      <c r="I180" s="11">
        <v>89.99</v>
      </c>
      <c r="J180" s="9" t="s">
        <v>46</v>
      </c>
      <c r="K180" s="9" t="s">
        <v>55</v>
      </c>
      <c r="L180" s="9" t="s">
        <v>47</v>
      </c>
      <c r="M180" s="10">
        <v>44564</v>
      </c>
      <c r="N180" s="11">
        <v>179.98</v>
      </c>
      <c r="O180" s="12" t="str">
        <f t="shared" si="10"/>
        <v>2025-01</v>
      </c>
      <c r="P180" s="12">
        <f t="shared" si="11"/>
        <v>2025</v>
      </c>
      <c r="Q180" s="12">
        <f t="shared" si="12"/>
        <v>3</v>
      </c>
      <c r="R180" s="12" t="str">
        <f t="shared" si="13"/>
        <v>DK</v>
      </c>
      <c r="S180" s="13">
        <f t="shared" ca="1" si="14"/>
        <v>46309.658403472225</v>
      </c>
    </row>
    <row r="181" spans="1:19" ht="15.75" customHeight="1" x14ac:dyDescent="0.3">
      <c r="A181" s="9" t="s">
        <v>344</v>
      </c>
      <c r="B181" s="10">
        <v>45661</v>
      </c>
      <c r="C181" s="9" t="s">
        <v>345</v>
      </c>
      <c r="D181" s="9" t="s">
        <v>346</v>
      </c>
      <c r="E181" s="9" t="s">
        <v>81</v>
      </c>
      <c r="F181" s="9" t="s">
        <v>82</v>
      </c>
      <c r="G181" s="9" t="s">
        <v>39</v>
      </c>
      <c r="H181" s="9">
        <v>1</v>
      </c>
      <c r="I181" s="11">
        <v>899.99</v>
      </c>
      <c r="J181" s="9" t="s">
        <v>54</v>
      </c>
      <c r="K181" s="9" t="s">
        <v>60</v>
      </c>
      <c r="L181" s="9" t="s">
        <v>56</v>
      </c>
      <c r="M181" s="10">
        <v>44752</v>
      </c>
      <c r="N181" s="11">
        <v>899.99</v>
      </c>
      <c r="O181" s="12" t="str">
        <f t="shared" si="10"/>
        <v>2025-01</v>
      </c>
      <c r="P181" s="12">
        <f t="shared" si="11"/>
        <v>2025</v>
      </c>
      <c r="Q181" s="12">
        <f t="shared" si="12"/>
        <v>2</v>
      </c>
      <c r="R181" s="12" t="str">
        <f t="shared" si="13"/>
        <v>AE</v>
      </c>
      <c r="S181" s="13">
        <f t="shared" ca="1" si="14"/>
        <v>46309.658403472225</v>
      </c>
    </row>
    <row r="182" spans="1:19" ht="15.75" customHeight="1" x14ac:dyDescent="0.3">
      <c r="A182" s="9" t="s">
        <v>347</v>
      </c>
      <c r="B182" s="10">
        <v>45663</v>
      </c>
      <c r="C182" s="9" t="s">
        <v>149</v>
      </c>
      <c r="D182" s="9" t="s">
        <v>150</v>
      </c>
      <c r="E182" s="9" t="s">
        <v>72</v>
      </c>
      <c r="F182" s="9" t="s">
        <v>73</v>
      </c>
      <c r="G182" s="9" t="s">
        <v>39</v>
      </c>
      <c r="H182" s="9">
        <v>5</v>
      </c>
      <c r="I182" s="11">
        <v>149.99</v>
      </c>
      <c r="J182" s="9" t="s">
        <v>54</v>
      </c>
      <c r="K182" s="9" t="s">
        <v>83</v>
      </c>
      <c r="L182" s="9" t="s">
        <v>47</v>
      </c>
      <c r="M182" s="10">
        <v>44824</v>
      </c>
      <c r="N182" s="11">
        <v>749.95</v>
      </c>
      <c r="O182" s="12" t="str">
        <f t="shared" si="10"/>
        <v>2025-01</v>
      </c>
      <c r="P182" s="12">
        <f t="shared" si="11"/>
        <v>2025</v>
      </c>
      <c r="Q182" s="12">
        <f t="shared" si="12"/>
        <v>2</v>
      </c>
      <c r="R182" s="12" t="str">
        <f t="shared" si="13"/>
        <v>LA</v>
      </c>
      <c r="S182" s="13">
        <f t="shared" ca="1" si="14"/>
        <v>46309.658403472225</v>
      </c>
    </row>
    <row r="183" spans="1:19" ht="15.75" customHeight="1" x14ac:dyDescent="0.3">
      <c r="A183" s="9" t="s">
        <v>348</v>
      </c>
      <c r="B183" s="10">
        <v>45663</v>
      </c>
      <c r="C183" s="9" t="s">
        <v>62</v>
      </c>
      <c r="D183" s="9" t="s">
        <v>63</v>
      </c>
      <c r="E183" s="9" t="s">
        <v>125</v>
      </c>
      <c r="F183" s="9" t="s">
        <v>126</v>
      </c>
      <c r="G183" s="9" t="s">
        <v>66</v>
      </c>
      <c r="H183" s="9">
        <v>3</v>
      </c>
      <c r="I183" s="11">
        <v>299.99</v>
      </c>
      <c r="J183" s="9" t="s">
        <v>40</v>
      </c>
      <c r="K183" s="9" t="s">
        <v>55</v>
      </c>
      <c r="L183" s="9" t="s">
        <v>56</v>
      </c>
      <c r="M183" s="10">
        <v>44422</v>
      </c>
      <c r="N183" s="11">
        <v>899.97</v>
      </c>
      <c r="O183" s="12" t="str">
        <f t="shared" si="10"/>
        <v>2025-01</v>
      </c>
      <c r="P183" s="12">
        <f t="shared" si="11"/>
        <v>2025</v>
      </c>
      <c r="Q183" s="12">
        <f t="shared" si="12"/>
        <v>3</v>
      </c>
      <c r="R183" s="12" t="str">
        <f t="shared" si="13"/>
        <v>MB</v>
      </c>
      <c r="S183" s="13">
        <f t="shared" ca="1" si="14"/>
        <v>46309.658403472225</v>
      </c>
    </row>
    <row r="184" spans="1:19" ht="15.75" customHeight="1" x14ac:dyDescent="0.3">
      <c r="A184" s="9" t="s">
        <v>349</v>
      </c>
      <c r="B184" s="10">
        <v>45666</v>
      </c>
      <c r="C184" s="9" t="s">
        <v>85</v>
      </c>
      <c r="D184" s="9" t="s">
        <v>86</v>
      </c>
      <c r="E184" s="9" t="s">
        <v>100</v>
      </c>
      <c r="F184" s="9" t="s">
        <v>101</v>
      </c>
      <c r="G184" s="9" t="s">
        <v>39</v>
      </c>
      <c r="H184" s="9">
        <v>3</v>
      </c>
      <c r="I184" s="11">
        <v>699.99</v>
      </c>
      <c r="J184" s="9" t="s">
        <v>46</v>
      </c>
      <c r="K184" s="9" t="s">
        <v>41</v>
      </c>
      <c r="L184" s="9" t="s">
        <v>47</v>
      </c>
      <c r="M184" s="10">
        <v>45105</v>
      </c>
      <c r="N184" s="11">
        <v>2099.9699999999998</v>
      </c>
      <c r="O184" s="12" t="str">
        <f t="shared" si="10"/>
        <v>2025-01</v>
      </c>
      <c r="P184" s="12">
        <f t="shared" si="11"/>
        <v>2025</v>
      </c>
      <c r="Q184" s="12">
        <f t="shared" si="12"/>
        <v>1</v>
      </c>
      <c r="R184" s="12" t="str">
        <f t="shared" si="13"/>
        <v>KH</v>
      </c>
      <c r="S184" s="13">
        <f t="shared" ca="1" si="14"/>
        <v>46309.658403472225</v>
      </c>
    </row>
    <row r="185" spans="1:19" ht="15.75" customHeight="1" x14ac:dyDescent="0.3">
      <c r="A185" s="9" t="s">
        <v>350</v>
      </c>
      <c r="B185" s="10">
        <v>45667</v>
      </c>
      <c r="C185" s="9" t="s">
        <v>128</v>
      </c>
      <c r="D185" s="9" t="s">
        <v>129</v>
      </c>
      <c r="E185" s="9" t="s">
        <v>146</v>
      </c>
      <c r="F185" s="9" t="s">
        <v>147</v>
      </c>
      <c r="G185" s="9" t="s">
        <v>66</v>
      </c>
      <c r="H185" s="9">
        <v>5</v>
      </c>
      <c r="I185" s="11">
        <v>199.99</v>
      </c>
      <c r="J185" s="9" t="s">
        <v>54</v>
      </c>
      <c r="K185" s="9" t="s">
        <v>41</v>
      </c>
      <c r="L185" s="9" t="s">
        <v>56</v>
      </c>
      <c r="M185" s="10">
        <v>44633</v>
      </c>
      <c r="N185" s="11">
        <v>999.95</v>
      </c>
      <c r="O185" s="12" t="str">
        <f t="shared" si="10"/>
        <v>2025-01</v>
      </c>
      <c r="P185" s="12">
        <f t="shared" si="11"/>
        <v>2025</v>
      </c>
      <c r="Q185" s="12">
        <f t="shared" si="12"/>
        <v>2</v>
      </c>
      <c r="R185" s="12" t="str">
        <f t="shared" si="13"/>
        <v>NC</v>
      </c>
      <c r="S185" s="13">
        <f t="shared" ca="1" si="14"/>
        <v>46309.658403472225</v>
      </c>
    </row>
    <row r="186" spans="1:19" ht="15.75" customHeight="1" x14ac:dyDescent="0.3">
      <c r="A186" s="9" t="s">
        <v>351</v>
      </c>
      <c r="B186" s="10">
        <v>45667</v>
      </c>
      <c r="C186" s="9" t="s">
        <v>113</v>
      </c>
      <c r="D186" s="9" t="s">
        <v>114</v>
      </c>
      <c r="E186" s="9" t="s">
        <v>37</v>
      </c>
      <c r="F186" s="9" t="s">
        <v>38</v>
      </c>
      <c r="G186" s="9" t="s">
        <v>39</v>
      </c>
      <c r="H186" s="9">
        <v>5</v>
      </c>
      <c r="I186" s="11">
        <v>249.99</v>
      </c>
      <c r="J186" s="9" t="s">
        <v>46</v>
      </c>
      <c r="K186" s="9" t="s">
        <v>55</v>
      </c>
      <c r="L186" s="9" t="s">
        <v>42</v>
      </c>
      <c r="M186" s="10">
        <v>45330</v>
      </c>
      <c r="N186" s="11">
        <v>1249.95</v>
      </c>
      <c r="O186" s="12" t="str">
        <f t="shared" si="10"/>
        <v>2025-01</v>
      </c>
      <c r="P186" s="12">
        <f t="shared" si="11"/>
        <v>2025</v>
      </c>
      <c r="Q186" s="12">
        <f t="shared" si="12"/>
        <v>0</v>
      </c>
      <c r="R186" s="12" t="str">
        <f t="shared" si="13"/>
        <v>VS</v>
      </c>
      <c r="S186" s="13">
        <f t="shared" ca="1" si="14"/>
        <v>46309.658403472225</v>
      </c>
    </row>
    <row r="187" spans="1:19" ht="15.75" customHeight="1" x14ac:dyDescent="0.3">
      <c r="A187" s="9" t="s">
        <v>352</v>
      </c>
      <c r="B187" s="10">
        <v>45668</v>
      </c>
      <c r="C187" s="9" t="s">
        <v>158</v>
      </c>
      <c r="D187" s="9" t="s">
        <v>159</v>
      </c>
      <c r="E187" s="9" t="s">
        <v>72</v>
      </c>
      <c r="F187" s="9" t="s">
        <v>73</v>
      </c>
      <c r="G187" s="9" t="s">
        <v>39</v>
      </c>
      <c r="H187" s="9">
        <v>4</v>
      </c>
      <c r="I187" s="11">
        <v>149.99</v>
      </c>
      <c r="J187" s="9" t="s">
        <v>77</v>
      </c>
      <c r="K187" s="9" t="s">
        <v>83</v>
      </c>
      <c r="L187" s="9" t="s">
        <v>56</v>
      </c>
      <c r="M187" s="10">
        <v>44536</v>
      </c>
      <c r="N187" s="11">
        <v>599.96</v>
      </c>
      <c r="O187" s="12" t="str">
        <f t="shared" si="10"/>
        <v>2025-01</v>
      </c>
      <c r="P187" s="12">
        <f t="shared" si="11"/>
        <v>2025</v>
      </c>
      <c r="Q187" s="12">
        <f t="shared" si="12"/>
        <v>3</v>
      </c>
      <c r="R187" s="12" t="str">
        <f t="shared" si="13"/>
        <v>ST</v>
      </c>
      <c r="S187" s="13">
        <f t="shared" ca="1" si="14"/>
        <v>46309.658403472225</v>
      </c>
    </row>
    <row r="188" spans="1:19" ht="15.75" customHeight="1" x14ac:dyDescent="0.3">
      <c r="A188" s="9" t="s">
        <v>353</v>
      </c>
      <c r="B188" s="10">
        <v>45668</v>
      </c>
      <c r="C188" s="9" t="s">
        <v>98</v>
      </c>
      <c r="D188" s="9" t="s">
        <v>99</v>
      </c>
      <c r="E188" s="9" t="s">
        <v>100</v>
      </c>
      <c r="F188" s="9" t="s">
        <v>101</v>
      </c>
      <c r="G188" s="9" t="s">
        <v>39</v>
      </c>
      <c r="H188" s="9">
        <v>3</v>
      </c>
      <c r="I188" s="11">
        <v>699.99</v>
      </c>
      <c r="J188" s="9" t="s">
        <v>40</v>
      </c>
      <c r="K188" s="9" t="s">
        <v>60</v>
      </c>
      <c r="L188" s="9" t="s">
        <v>47</v>
      </c>
      <c r="M188" s="10">
        <v>44602</v>
      </c>
      <c r="N188" s="11">
        <v>2099.9699999999998</v>
      </c>
      <c r="O188" s="12" t="str">
        <f t="shared" si="10"/>
        <v>2025-01</v>
      </c>
      <c r="P188" s="12">
        <f t="shared" si="11"/>
        <v>2025</v>
      </c>
      <c r="Q188" s="12">
        <f t="shared" si="12"/>
        <v>2</v>
      </c>
      <c r="R188" s="12" t="str">
        <f t="shared" si="13"/>
        <v>MR</v>
      </c>
      <c r="S188" s="13">
        <f t="shared" ca="1" si="14"/>
        <v>46309.658403472225</v>
      </c>
    </row>
    <row r="189" spans="1:19" ht="15.75" customHeight="1" x14ac:dyDescent="0.3">
      <c r="A189" s="9" t="s">
        <v>354</v>
      </c>
      <c r="B189" s="10">
        <v>45670</v>
      </c>
      <c r="C189" s="9" t="s">
        <v>313</v>
      </c>
      <c r="D189" s="9" t="s">
        <v>314</v>
      </c>
      <c r="E189" s="9" t="s">
        <v>134</v>
      </c>
      <c r="F189" s="9" t="s">
        <v>135</v>
      </c>
      <c r="G189" s="9" t="s">
        <v>53</v>
      </c>
      <c r="H189" s="9">
        <v>1</v>
      </c>
      <c r="I189" s="11">
        <v>79.989999999999995</v>
      </c>
      <c r="J189" s="9" t="s">
        <v>46</v>
      </c>
      <c r="K189" s="9" t="s">
        <v>55</v>
      </c>
      <c r="L189" s="9" t="s">
        <v>42</v>
      </c>
      <c r="M189" s="10">
        <v>45322</v>
      </c>
      <c r="N189" s="11">
        <v>79.989999999999995</v>
      </c>
      <c r="O189" s="12" t="str">
        <f t="shared" si="10"/>
        <v>2025-01</v>
      </c>
      <c r="P189" s="12">
        <f t="shared" si="11"/>
        <v>2025</v>
      </c>
      <c r="Q189" s="12">
        <f t="shared" si="12"/>
        <v>0</v>
      </c>
      <c r="R189" s="12" t="str">
        <f t="shared" si="13"/>
        <v>DW</v>
      </c>
      <c r="S189" s="13">
        <f t="shared" ca="1" si="14"/>
        <v>46309.658403472225</v>
      </c>
    </row>
    <row r="190" spans="1:19" ht="15.75" customHeight="1" x14ac:dyDescent="0.3">
      <c r="A190" s="9" t="s">
        <v>355</v>
      </c>
      <c r="B190" s="10">
        <v>45670</v>
      </c>
      <c r="C190" s="9" t="s">
        <v>106</v>
      </c>
      <c r="D190" s="9" t="s">
        <v>107</v>
      </c>
      <c r="E190" s="9" t="s">
        <v>125</v>
      </c>
      <c r="F190" s="9" t="s">
        <v>126</v>
      </c>
      <c r="G190" s="9" t="s">
        <v>66</v>
      </c>
      <c r="H190" s="9">
        <v>1</v>
      </c>
      <c r="I190" s="11">
        <v>299.99</v>
      </c>
      <c r="J190" s="9" t="s">
        <v>46</v>
      </c>
      <c r="K190" s="9" t="s">
        <v>60</v>
      </c>
      <c r="L190" s="9" t="s">
        <v>42</v>
      </c>
      <c r="M190" s="10">
        <v>44436</v>
      </c>
      <c r="N190" s="11">
        <v>299.99</v>
      </c>
      <c r="O190" s="12" t="str">
        <f t="shared" si="10"/>
        <v>2025-01</v>
      </c>
      <c r="P190" s="12">
        <f t="shared" si="11"/>
        <v>2025</v>
      </c>
      <c r="Q190" s="12">
        <f t="shared" si="12"/>
        <v>3</v>
      </c>
      <c r="R190" s="12" t="str">
        <f t="shared" si="13"/>
        <v>MC</v>
      </c>
      <c r="S190" s="13">
        <f t="shared" ca="1" si="14"/>
        <v>46309.658403472225</v>
      </c>
    </row>
    <row r="191" spans="1:19" ht="15.75" customHeight="1" x14ac:dyDescent="0.3">
      <c r="A191" s="9" t="s">
        <v>356</v>
      </c>
      <c r="B191" s="10">
        <v>45671</v>
      </c>
      <c r="C191" s="9" t="s">
        <v>178</v>
      </c>
      <c r="D191" s="9" t="s">
        <v>179</v>
      </c>
      <c r="E191" s="9" t="s">
        <v>37</v>
      </c>
      <c r="F191" s="9" t="s">
        <v>38</v>
      </c>
      <c r="G191" s="9" t="s">
        <v>39</v>
      </c>
      <c r="H191" s="9">
        <v>4</v>
      </c>
      <c r="I191" s="11">
        <v>249.99</v>
      </c>
      <c r="J191" s="9" t="s">
        <v>46</v>
      </c>
      <c r="K191" s="9" t="s">
        <v>60</v>
      </c>
      <c r="L191" s="9" t="s">
        <v>47</v>
      </c>
      <c r="M191" s="10">
        <v>44460</v>
      </c>
      <c r="N191" s="11">
        <v>999.96</v>
      </c>
      <c r="O191" s="12" t="str">
        <f t="shared" si="10"/>
        <v>2025-01</v>
      </c>
      <c r="P191" s="12">
        <f t="shared" si="11"/>
        <v>2025</v>
      </c>
      <c r="Q191" s="12">
        <f t="shared" si="12"/>
        <v>3</v>
      </c>
      <c r="R191" s="12" t="str">
        <f t="shared" si="13"/>
        <v>BC</v>
      </c>
      <c r="S191" s="13">
        <f t="shared" ca="1" si="14"/>
        <v>46309.658403472225</v>
      </c>
    </row>
    <row r="192" spans="1:19" ht="15.75" customHeight="1" x14ac:dyDescent="0.3">
      <c r="A192" s="9" t="s">
        <v>357</v>
      </c>
      <c r="B192" s="10">
        <v>45671</v>
      </c>
      <c r="C192" s="9" t="s">
        <v>140</v>
      </c>
      <c r="D192" s="9" t="s">
        <v>141</v>
      </c>
      <c r="E192" s="9" t="s">
        <v>72</v>
      </c>
      <c r="F192" s="9" t="s">
        <v>73</v>
      </c>
      <c r="G192" s="9" t="s">
        <v>39</v>
      </c>
      <c r="H192" s="9">
        <v>2</v>
      </c>
      <c r="I192" s="11">
        <v>149.99</v>
      </c>
      <c r="J192" s="9" t="s">
        <v>40</v>
      </c>
      <c r="K192" s="9" t="s">
        <v>60</v>
      </c>
      <c r="L192" s="9" t="s">
        <v>56</v>
      </c>
      <c r="M192" s="10">
        <v>44913</v>
      </c>
      <c r="N192" s="11">
        <v>299.98</v>
      </c>
      <c r="O192" s="12" t="str">
        <f t="shared" si="10"/>
        <v>2025-01</v>
      </c>
      <c r="P192" s="12">
        <f t="shared" si="11"/>
        <v>2025</v>
      </c>
      <c r="Q192" s="12">
        <f t="shared" si="12"/>
        <v>2</v>
      </c>
      <c r="R192" s="12" t="str">
        <f t="shared" si="13"/>
        <v>HR</v>
      </c>
      <c r="S192" s="13">
        <f t="shared" ca="1" si="14"/>
        <v>46309.658403472225</v>
      </c>
    </row>
    <row r="193" spans="1:19" ht="15.75" customHeight="1" x14ac:dyDescent="0.3">
      <c r="A193" s="9" t="s">
        <v>358</v>
      </c>
      <c r="B193" s="10">
        <v>45671</v>
      </c>
      <c r="C193" s="9" t="s">
        <v>254</v>
      </c>
      <c r="D193" s="9" t="s">
        <v>255</v>
      </c>
      <c r="E193" s="9" t="s">
        <v>125</v>
      </c>
      <c r="F193" s="9" t="s">
        <v>126</v>
      </c>
      <c r="G193" s="9" t="s">
        <v>66</v>
      </c>
      <c r="H193" s="9">
        <v>3</v>
      </c>
      <c r="I193" s="11">
        <v>299.99</v>
      </c>
      <c r="J193" s="9" t="s">
        <v>46</v>
      </c>
      <c r="K193" s="9" t="s">
        <v>55</v>
      </c>
      <c r="L193" s="9" t="s">
        <v>42</v>
      </c>
      <c r="M193" s="10">
        <v>45204</v>
      </c>
      <c r="N193" s="11">
        <v>899.97</v>
      </c>
      <c r="O193" s="12" t="str">
        <f t="shared" si="10"/>
        <v>2025-01</v>
      </c>
      <c r="P193" s="12">
        <f t="shared" si="11"/>
        <v>2025</v>
      </c>
      <c r="Q193" s="12">
        <f t="shared" si="12"/>
        <v>1</v>
      </c>
      <c r="R193" s="12" t="str">
        <f t="shared" si="13"/>
        <v>SP</v>
      </c>
      <c r="S193" s="13">
        <f t="shared" ca="1" si="14"/>
        <v>46309.658403472225</v>
      </c>
    </row>
    <row r="194" spans="1:19" ht="15.75" customHeight="1" x14ac:dyDescent="0.3">
      <c r="A194" s="9" t="s">
        <v>359</v>
      </c>
      <c r="B194" s="10">
        <v>45673</v>
      </c>
      <c r="C194" s="9" t="s">
        <v>246</v>
      </c>
      <c r="D194" s="9" t="s">
        <v>247</v>
      </c>
      <c r="E194" s="9" t="s">
        <v>146</v>
      </c>
      <c r="F194" s="9" t="s">
        <v>147</v>
      </c>
      <c r="G194" s="9" t="s">
        <v>66</v>
      </c>
      <c r="H194" s="9">
        <v>4</v>
      </c>
      <c r="I194" s="11">
        <v>199.99</v>
      </c>
      <c r="J194" s="9" t="s">
        <v>77</v>
      </c>
      <c r="K194" s="9" t="s">
        <v>55</v>
      </c>
      <c r="L194" s="9" t="s">
        <v>56</v>
      </c>
      <c r="M194" s="10">
        <v>44544</v>
      </c>
      <c r="N194" s="11">
        <v>799.96</v>
      </c>
      <c r="O194" s="12" t="str">
        <f t="shared" ref="O194:O251" si="15">TEXT(B194,"yyyy-mm")</f>
        <v>2025-01</v>
      </c>
      <c r="P194" s="12">
        <f t="shared" ref="P194:P251" si="16">YEAR(B194)</f>
        <v>2025</v>
      </c>
      <c r="Q194" s="12">
        <f t="shared" ref="Q194:Q251" si="17">DATEDIF(M194,B194,"Y")</f>
        <v>3</v>
      </c>
      <c r="R194" s="12" t="str">
        <f t="shared" ref="R194:R251" si="18">UPPER(LEFT(D194,1)&amp;MID(D194,FIND(" ",D194)+1,1))</f>
        <v>LR</v>
      </c>
      <c r="S194" s="13">
        <f t="shared" ref="S194:S251" ca="1" si="19">NOW()</f>
        <v>46309.658403472225</v>
      </c>
    </row>
    <row r="195" spans="1:19" ht="15.75" customHeight="1" x14ac:dyDescent="0.3">
      <c r="A195" s="9" t="s">
        <v>360</v>
      </c>
      <c r="B195" s="10">
        <v>45673</v>
      </c>
      <c r="C195" s="9" t="s">
        <v>231</v>
      </c>
      <c r="D195" s="9" t="s">
        <v>232</v>
      </c>
      <c r="E195" s="9" t="s">
        <v>125</v>
      </c>
      <c r="F195" s="9" t="s">
        <v>126</v>
      </c>
      <c r="G195" s="9" t="s">
        <v>66</v>
      </c>
      <c r="H195" s="9">
        <v>5</v>
      </c>
      <c r="I195" s="11">
        <v>299.99</v>
      </c>
      <c r="J195" s="9" t="s">
        <v>77</v>
      </c>
      <c r="K195" s="9" t="s">
        <v>41</v>
      </c>
      <c r="L195" s="9" t="s">
        <v>42</v>
      </c>
      <c r="M195" s="10">
        <v>44431</v>
      </c>
      <c r="N195" s="11">
        <v>1499.95</v>
      </c>
      <c r="O195" s="12" t="str">
        <f t="shared" si="15"/>
        <v>2025-01</v>
      </c>
      <c r="P195" s="12">
        <f t="shared" si="16"/>
        <v>2025</v>
      </c>
      <c r="Q195" s="12">
        <f t="shared" si="17"/>
        <v>3</v>
      </c>
      <c r="R195" s="12" t="str">
        <f t="shared" si="18"/>
        <v>EH</v>
      </c>
      <c r="S195" s="13">
        <f t="shared" ca="1" si="19"/>
        <v>46309.658403472225</v>
      </c>
    </row>
    <row r="196" spans="1:19" ht="15.75" customHeight="1" x14ac:dyDescent="0.3">
      <c r="A196" s="9" t="s">
        <v>361</v>
      </c>
      <c r="B196" s="10">
        <v>45673</v>
      </c>
      <c r="C196" s="9" t="s">
        <v>79</v>
      </c>
      <c r="D196" s="9" t="s">
        <v>80</v>
      </c>
      <c r="E196" s="9" t="s">
        <v>64</v>
      </c>
      <c r="F196" s="9" t="s">
        <v>65</v>
      </c>
      <c r="G196" s="9" t="s">
        <v>66</v>
      </c>
      <c r="H196" s="9">
        <v>3</v>
      </c>
      <c r="I196" s="11">
        <v>149.99</v>
      </c>
      <c r="J196" s="9" t="s">
        <v>46</v>
      </c>
      <c r="K196" s="9" t="s">
        <v>83</v>
      </c>
      <c r="L196" s="9" t="s">
        <v>56</v>
      </c>
      <c r="M196" s="10">
        <v>44395</v>
      </c>
      <c r="N196" s="11">
        <v>449.97</v>
      </c>
      <c r="O196" s="12" t="str">
        <f t="shared" si="15"/>
        <v>2025-01</v>
      </c>
      <c r="P196" s="12">
        <f t="shared" si="16"/>
        <v>2025</v>
      </c>
      <c r="Q196" s="12">
        <f t="shared" si="17"/>
        <v>3</v>
      </c>
      <c r="R196" s="12" t="str">
        <f t="shared" si="18"/>
        <v>RT</v>
      </c>
      <c r="S196" s="13">
        <f t="shared" ca="1" si="19"/>
        <v>46309.658403472225</v>
      </c>
    </row>
    <row r="197" spans="1:19" ht="15.75" customHeight="1" x14ac:dyDescent="0.3">
      <c r="A197" s="9" t="s">
        <v>362</v>
      </c>
      <c r="B197" s="10">
        <v>45676</v>
      </c>
      <c r="C197" s="9" t="s">
        <v>149</v>
      </c>
      <c r="D197" s="9" t="s">
        <v>150</v>
      </c>
      <c r="E197" s="9" t="s">
        <v>51</v>
      </c>
      <c r="F197" s="9" t="s">
        <v>52</v>
      </c>
      <c r="G197" s="9" t="s">
        <v>53</v>
      </c>
      <c r="H197" s="9">
        <v>5</v>
      </c>
      <c r="I197" s="11">
        <v>59.99</v>
      </c>
      <c r="J197" s="9" t="s">
        <v>77</v>
      </c>
      <c r="K197" s="9" t="s">
        <v>83</v>
      </c>
      <c r="L197" s="9" t="s">
        <v>42</v>
      </c>
      <c r="M197" s="10">
        <v>44642</v>
      </c>
      <c r="N197" s="11">
        <v>299.95</v>
      </c>
      <c r="O197" s="12" t="str">
        <f t="shared" si="15"/>
        <v>2025-01</v>
      </c>
      <c r="P197" s="12">
        <f t="shared" si="16"/>
        <v>2025</v>
      </c>
      <c r="Q197" s="12">
        <f t="shared" si="17"/>
        <v>2</v>
      </c>
      <c r="R197" s="12" t="str">
        <f t="shared" si="18"/>
        <v>LA</v>
      </c>
      <c r="S197" s="13">
        <f t="shared" ca="1" si="19"/>
        <v>46309.658403472225</v>
      </c>
    </row>
    <row r="198" spans="1:19" ht="15.75" customHeight="1" x14ac:dyDescent="0.3">
      <c r="A198" s="9" t="s">
        <v>363</v>
      </c>
      <c r="B198" s="10">
        <v>45682</v>
      </c>
      <c r="C198" s="9" t="s">
        <v>88</v>
      </c>
      <c r="D198" s="9" t="s">
        <v>89</v>
      </c>
      <c r="E198" s="9" t="s">
        <v>51</v>
      </c>
      <c r="F198" s="9" t="s">
        <v>52</v>
      </c>
      <c r="G198" s="9" t="s">
        <v>53</v>
      </c>
      <c r="H198" s="9">
        <v>4</v>
      </c>
      <c r="I198" s="11">
        <v>59.99</v>
      </c>
      <c r="J198" s="9" t="s">
        <v>77</v>
      </c>
      <c r="K198" s="9" t="s">
        <v>83</v>
      </c>
      <c r="L198" s="9" t="s">
        <v>56</v>
      </c>
      <c r="M198" s="10">
        <v>44564</v>
      </c>
      <c r="N198" s="11">
        <v>239.96</v>
      </c>
      <c r="O198" s="12" t="str">
        <f t="shared" si="15"/>
        <v>2025-01</v>
      </c>
      <c r="P198" s="12">
        <f t="shared" si="16"/>
        <v>2025</v>
      </c>
      <c r="Q198" s="12">
        <f t="shared" si="17"/>
        <v>3</v>
      </c>
      <c r="R198" s="12" t="str">
        <f t="shared" si="18"/>
        <v>SG</v>
      </c>
      <c r="S198" s="13">
        <f t="shared" ca="1" si="19"/>
        <v>46309.658403472225</v>
      </c>
    </row>
    <row r="199" spans="1:19" ht="15.75" customHeight="1" x14ac:dyDescent="0.3">
      <c r="A199" s="9" t="s">
        <v>364</v>
      </c>
      <c r="B199" s="10">
        <v>45683</v>
      </c>
      <c r="C199" s="9" t="s">
        <v>68</v>
      </c>
      <c r="D199" s="9" t="s">
        <v>69</v>
      </c>
      <c r="E199" s="9" t="s">
        <v>37</v>
      </c>
      <c r="F199" s="9" t="s">
        <v>38</v>
      </c>
      <c r="G199" s="9" t="s">
        <v>39</v>
      </c>
      <c r="H199" s="9">
        <v>4</v>
      </c>
      <c r="I199" s="11">
        <v>249.99</v>
      </c>
      <c r="J199" s="9" t="s">
        <v>77</v>
      </c>
      <c r="K199" s="9" t="s">
        <v>41</v>
      </c>
      <c r="L199" s="9" t="s">
        <v>47</v>
      </c>
      <c r="M199" s="10">
        <v>45217</v>
      </c>
      <c r="N199" s="11">
        <v>999.96</v>
      </c>
      <c r="O199" s="12" t="str">
        <f t="shared" si="15"/>
        <v>2025-01</v>
      </c>
      <c r="P199" s="12">
        <f t="shared" si="16"/>
        <v>2025</v>
      </c>
      <c r="Q199" s="12">
        <f t="shared" si="17"/>
        <v>1</v>
      </c>
      <c r="R199" s="12" t="str">
        <f t="shared" si="18"/>
        <v>DN</v>
      </c>
      <c r="S199" s="13">
        <f t="shared" ca="1" si="19"/>
        <v>46309.658403472225</v>
      </c>
    </row>
    <row r="200" spans="1:19" ht="15.75" customHeight="1" x14ac:dyDescent="0.3">
      <c r="A200" s="9" t="s">
        <v>365</v>
      </c>
      <c r="B200" s="10">
        <v>45686</v>
      </c>
      <c r="C200" s="9" t="s">
        <v>272</v>
      </c>
      <c r="D200" s="9" t="s">
        <v>273</v>
      </c>
      <c r="E200" s="9" t="s">
        <v>81</v>
      </c>
      <c r="F200" s="9" t="s">
        <v>82</v>
      </c>
      <c r="G200" s="9" t="s">
        <v>39</v>
      </c>
      <c r="H200" s="9">
        <v>4</v>
      </c>
      <c r="I200" s="11">
        <v>899.99</v>
      </c>
      <c r="J200" s="9" t="s">
        <v>54</v>
      </c>
      <c r="K200" s="9" t="s">
        <v>41</v>
      </c>
      <c r="L200" s="9" t="s">
        <v>42</v>
      </c>
      <c r="M200" s="10">
        <v>44734</v>
      </c>
      <c r="N200" s="11">
        <v>3599.96</v>
      </c>
      <c r="O200" s="12" t="str">
        <f t="shared" si="15"/>
        <v>2025-01</v>
      </c>
      <c r="P200" s="12">
        <f t="shared" si="16"/>
        <v>2025</v>
      </c>
      <c r="Q200" s="12">
        <f t="shared" si="17"/>
        <v>2</v>
      </c>
      <c r="R200" s="12" t="str">
        <f t="shared" si="18"/>
        <v>WW</v>
      </c>
      <c r="S200" s="13">
        <f t="shared" ca="1" si="19"/>
        <v>46309.658403472225</v>
      </c>
    </row>
    <row r="201" spans="1:19" ht="15.75" customHeight="1" x14ac:dyDescent="0.3">
      <c r="A201" s="9" t="s">
        <v>366</v>
      </c>
      <c r="B201" s="10">
        <v>45686</v>
      </c>
      <c r="C201" s="9" t="s">
        <v>106</v>
      </c>
      <c r="D201" s="9" t="s">
        <v>107</v>
      </c>
      <c r="E201" s="9" t="s">
        <v>125</v>
      </c>
      <c r="F201" s="9" t="s">
        <v>126</v>
      </c>
      <c r="G201" s="9" t="s">
        <v>66</v>
      </c>
      <c r="H201" s="9">
        <v>3</v>
      </c>
      <c r="I201" s="11">
        <v>299.99</v>
      </c>
      <c r="J201" s="9" t="s">
        <v>77</v>
      </c>
      <c r="K201" s="9" t="s">
        <v>70</v>
      </c>
      <c r="L201" s="9" t="s">
        <v>56</v>
      </c>
      <c r="M201" s="10">
        <v>44952</v>
      </c>
      <c r="N201" s="11">
        <v>899.97</v>
      </c>
      <c r="O201" s="12" t="str">
        <f t="shared" si="15"/>
        <v>2025-01</v>
      </c>
      <c r="P201" s="12">
        <f t="shared" si="16"/>
        <v>2025</v>
      </c>
      <c r="Q201" s="12">
        <f t="shared" si="17"/>
        <v>2</v>
      </c>
      <c r="R201" s="12" t="str">
        <f t="shared" si="18"/>
        <v>MC</v>
      </c>
      <c r="S201" s="13">
        <f t="shared" ca="1" si="19"/>
        <v>46309.658403472225</v>
      </c>
    </row>
    <row r="202" spans="1:19" ht="15.75" customHeight="1" x14ac:dyDescent="0.3">
      <c r="A202" s="9" t="s">
        <v>367</v>
      </c>
      <c r="B202" s="10">
        <v>45686</v>
      </c>
      <c r="C202" s="9" t="s">
        <v>313</v>
      </c>
      <c r="D202" s="9" t="s">
        <v>314</v>
      </c>
      <c r="E202" s="9" t="s">
        <v>100</v>
      </c>
      <c r="F202" s="9" t="s">
        <v>101</v>
      </c>
      <c r="G202" s="9" t="s">
        <v>39</v>
      </c>
      <c r="H202" s="9">
        <v>2</v>
      </c>
      <c r="I202" s="11">
        <v>699.99</v>
      </c>
      <c r="J202" s="9" t="s">
        <v>77</v>
      </c>
      <c r="K202" s="9" t="s">
        <v>41</v>
      </c>
      <c r="L202" s="9" t="s">
        <v>47</v>
      </c>
      <c r="M202" s="10">
        <v>44681</v>
      </c>
      <c r="N202" s="11">
        <v>1399.98</v>
      </c>
      <c r="O202" s="12" t="str">
        <f t="shared" si="15"/>
        <v>2025-01</v>
      </c>
      <c r="P202" s="12">
        <f t="shared" si="16"/>
        <v>2025</v>
      </c>
      <c r="Q202" s="12">
        <f t="shared" si="17"/>
        <v>2</v>
      </c>
      <c r="R202" s="12" t="str">
        <f t="shared" si="18"/>
        <v>DW</v>
      </c>
      <c r="S202" s="13">
        <f t="shared" ca="1" si="19"/>
        <v>46309.658403472225</v>
      </c>
    </row>
    <row r="203" spans="1:19" ht="15.75" customHeight="1" x14ac:dyDescent="0.3">
      <c r="A203" s="9" t="s">
        <v>368</v>
      </c>
      <c r="B203" s="10">
        <v>45688</v>
      </c>
      <c r="C203" s="9" t="s">
        <v>85</v>
      </c>
      <c r="D203" s="9" t="s">
        <v>86</v>
      </c>
      <c r="E203" s="9" t="s">
        <v>100</v>
      </c>
      <c r="F203" s="9" t="s">
        <v>101</v>
      </c>
      <c r="G203" s="9" t="s">
        <v>39</v>
      </c>
      <c r="H203" s="9">
        <v>4</v>
      </c>
      <c r="I203" s="11">
        <v>699.99</v>
      </c>
      <c r="J203" s="9" t="s">
        <v>77</v>
      </c>
      <c r="K203" s="9" t="s">
        <v>70</v>
      </c>
      <c r="L203" s="9" t="s">
        <v>47</v>
      </c>
      <c r="M203" s="10">
        <v>44692</v>
      </c>
      <c r="N203" s="11">
        <v>2799.96</v>
      </c>
      <c r="O203" s="12" t="str">
        <f t="shared" si="15"/>
        <v>2025-01</v>
      </c>
      <c r="P203" s="12">
        <f t="shared" si="16"/>
        <v>2025</v>
      </c>
      <c r="Q203" s="12">
        <f t="shared" si="17"/>
        <v>2</v>
      </c>
      <c r="R203" s="12" t="str">
        <f t="shared" si="18"/>
        <v>KH</v>
      </c>
      <c r="S203" s="13">
        <f t="shared" ca="1" si="19"/>
        <v>46309.658403472225</v>
      </c>
    </row>
    <row r="204" spans="1:19" ht="15.75" customHeight="1" x14ac:dyDescent="0.3">
      <c r="A204" s="9" t="s">
        <v>369</v>
      </c>
      <c r="B204" s="10">
        <v>45688</v>
      </c>
      <c r="C204" s="9" t="s">
        <v>143</v>
      </c>
      <c r="D204" s="9" t="s">
        <v>144</v>
      </c>
      <c r="E204" s="9" t="s">
        <v>137</v>
      </c>
      <c r="F204" s="9" t="s">
        <v>138</v>
      </c>
      <c r="G204" s="9" t="s">
        <v>39</v>
      </c>
      <c r="H204" s="9">
        <v>2</v>
      </c>
      <c r="I204" s="11">
        <v>89.99</v>
      </c>
      <c r="J204" s="9" t="s">
        <v>77</v>
      </c>
      <c r="K204" s="9" t="s">
        <v>55</v>
      </c>
      <c r="L204" s="9" t="s">
        <v>42</v>
      </c>
      <c r="M204" s="10">
        <v>44777</v>
      </c>
      <c r="N204" s="11">
        <v>179.98</v>
      </c>
      <c r="O204" s="12" t="str">
        <f t="shared" si="15"/>
        <v>2025-01</v>
      </c>
      <c r="P204" s="12">
        <f t="shared" si="16"/>
        <v>2025</v>
      </c>
      <c r="Q204" s="12">
        <f t="shared" si="17"/>
        <v>2</v>
      </c>
      <c r="R204" s="12" t="str">
        <f t="shared" si="18"/>
        <v>EM</v>
      </c>
      <c r="S204" s="13">
        <f t="shared" ca="1" si="19"/>
        <v>46309.658403472225</v>
      </c>
    </row>
    <row r="205" spans="1:19" ht="15.75" customHeight="1" x14ac:dyDescent="0.3">
      <c r="A205" s="9" t="s">
        <v>370</v>
      </c>
      <c r="B205" s="10">
        <v>45688</v>
      </c>
      <c r="C205" s="9" t="s">
        <v>62</v>
      </c>
      <c r="D205" s="9" t="s">
        <v>63</v>
      </c>
      <c r="E205" s="9" t="s">
        <v>137</v>
      </c>
      <c r="F205" s="9" t="s">
        <v>138</v>
      </c>
      <c r="G205" s="9" t="s">
        <v>39</v>
      </c>
      <c r="H205" s="9">
        <v>3</v>
      </c>
      <c r="I205" s="11">
        <v>89.99</v>
      </c>
      <c r="J205" s="9" t="s">
        <v>77</v>
      </c>
      <c r="K205" s="9" t="s">
        <v>55</v>
      </c>
      <c r="L205" s="9" t="s">
        <v>47</v>
      </c>
      <c r="M205" s="10">
        <v>45307</v>
      </c>
      <c r="N205" s="11">
        <v>269.97000000000003</v>
      </c>
      <c r="O205" s="12" t="str">
        <f t="shared" si="15"/>
        <v>2025-01</v>
      </c>
      <c r="P205" s="12">
        <f t="shared" si="16"/>
        <v>2025</v>
      </c>
      <c r="Q205" s="12">
        <f t="shared" si="17"/>
        <v>1</v>
      </c>
      <c r="R205" s="12" t="str">
        <f t="shared" si="18"/>
        <v>MB</v>
      </c>
      <c r="S205" s="13">
        <f t="shared" ca="1" si="19"/>
        <v>46309.658403472225</v>
      </c>
    </row>
    <row r="206" spans="1:19" ht="15.75" customHeight="1" x14ac:dyDescent="0.3">
      <c r="A206" s="9" t="s">
        <v>371</v>
      </c>
      <c r="B206" s="10">
        <v>45692</v>
      </c>
      <c r="C206" s="9" t="s">
        <v>345</v>
      </c>
      <c r="D206" s="9" t="s">
        <v>346</v>
      </c>
      <c r="E206" s="9" t="s">
        <v>51</v>
      </c>
      <c r="F206" s="9" t="s">
        <v>52</v>
      </c>
      <c r="G206" s="9" t="s">
        <v>53</v>
      </c>
      <c r="H206" s="9">
        <v>1</v>
      </c>
      <c r="I206" s="11">
        <v>59.99</v>
      </c>
      <c r="J206" s="9" t="s">
        <v>77</v>
      </c>
      <c r="K206" s="9" t="s">
        <v>41</v>
      </c>
      <c r="L206" s="9" t="s">
        <v>56</v>
      </c>
      <c r="M206" s="10">
        <v>45045</v>
      </c>
      <c r="N206" s="11">
        <v>59.99</v>
      </c>
      <c r="O206" s="12" t="str">
        <f t="shared" si="15"/>
        <v>2025-02</v>
      </c>
      <c r="P206" s="12">
        <f t="shared" si="16"/>
        <v>2025</v>
      </c>
      <c r="Q206" s="12">
        <f t="shared" si="17"/>
        <v>1</v>
      </c>
      <c r="R206" s="12" t="str">
        <f t="shared" si="18"/>
        <v>AE</v>
      </c>
      <c r="S206" s="13">
        <f t="shared" ca="1" si="19"/>
        <v>46309.658403472225</v>
      </c>
    </row>
    <row r="207" spans="1:19" ht="15.75" customHeight="1" x14ac:dyDescent="0.3">
      <c r="A207" s="9" t="s">
        <v>372</v>
      </c>
      <c r="B207" s="10">
        <v>45695</v>
      </c>
      <c r="C207" s="9" t="s">
        <v>266</v>
      </c>
      <c r="D207" s="9" t="s">
        <v>267</v>
      </c>
      <c r="E207" s="9" t="s">
        <v>64</v>
      </c>
      <c r="F207" s="9" t="s">
        <v>65</v>
      </c>
      <c r="G207" s="9" t="s">
        <v>66</v>
      </c>
      <c r="H207" s="9">
        <v>3</v>
      </c>
      <c r="I207" s="11">
        <v>149.99</v>
      </c>
      <c r="J207" s="9" t="s">
        <v>77</v>
      </c>
      <c r="K207" s="9" t="s">
        <v>60</v>
      </c>
      <c r="L207" s="9" t="s">
        <v>47</v>
      </c>
      <c r="M207" s="10">
        <v>44564</v>
      </c>
      <c r="N207" s="11">
        <v>449.97</v>
      </c>
      <c r="O207" s="12" t="str">
        <f t="shared" si="15"/>
        <v>2025-02</v>
      </c>
      <c r="P207" s="12">
        <f t="shared" si="16"/>
        <v>2025</v>
      </c>
      <c r="Q207" s="12">
        <f t="shared" si="17"/>
        <v>3</v>
      </c>
      <c r="R207" s="12" t="str">
        <f t="shared" si="18"/>
        <v>RB</v>
      </c>
      <c r="S207" s="13">
        <f t="shared" ca="1" si="19"/>
        <v>46309.658403472225</v>
      </c>
    </row>
    <row r="208" spans="1:19" ht="15.75" customHeight="1" x14ac:dyDescent="0.3">
      <c r="A208" s="9" t="s">
        <v>373</v>
      </c>
      <c r="B208" s="10">
        <v>45695</v>
      </c>
      <c r="C208" s="9" t="s">
        <v>113</v>
      </c>
      <c r="D208" s="9" t="s">
        <v>114</v>
      </c>
      <c r="E208" s="9" t="s">
        <v>125</v>
      </c>
      <c r="F208" s="9" t="s">
        <v>126</v>
      </c>
      <c r="G208" s="9" t="s">
        <v>66</v>
      </c>
      <c r="H208" s="9">
        <v>5</v>
      </c>
      <c r="I208" s="11">
        <v>299.99</v>
      </c>
      <c r="J208" s="9" t="s">
        <v>46</v>
      </c>
      <c r="K208" s="9" t="s">
        <v>55</v>
      </c>
      <c r="L208" s="9" t="s">
        <v>42</v>
      </c>
      <c r="M208" s="10">
        <v>44959</v>
      </c>
      <c r="N208" s="11">
        <v>1499.95</v>
      </c>
      <c r="O208" s="12" t="str">
        <f t="shared" si="15"/>
        <v>2025-02</v>
      </c>
      <c r="P208" s="12">
        <f t="shared" si="16"/>
        <v>2025</v>
      </c>
      <c r="Q208" s="12">
        <f t="shared" si="17"/>
        <v>2</v>
      </c>
      <c r="R208" s="12" t="str">
        <f t="shared" si="18"/>
        <v>VS</v>
      </c>
      <c r="S208" s="13">
        <f t="shared" ca="1" si="19"/>
        <v>46309.658403472225</v>
      </c>
    </row>
    <row r="209" spans="1:19" ht="15.75" customHeight="1" x14ac:dyDescent="0.3">
      <c r="A209" s="9" t="s">
        <v>374</v>
      </c>
      <c r="B209" s="10">
        <v>45696</v>
      </c>
      <c r="C209" s="9" t="s">
        <v>170</v>
      </c>
      <c r="D209" s="9" t="s">
        <v>171</v>
      </c>
      <c r="E209" s="9" t="s">
        <v>51</v>
      </c>
      <c r="F209" s="9" t="s">
        <v>52</v>
      </c>
      <c r="G209" s="9" t="s">
        <v>53</v>
      </c>
      <c r="H209" s="9">
        <v>5</v>
      </c>
      <c r="I209" s="11">
        <v>59.99</v>
      </c>
      <c r="J209" s="9" t="s">
        <v>77</v>
      </c>
      <c r="K209" s="9" t="s">
        <v>41</v>
      </c>
      <c r="L209" s="9" t="s">
        <v>56</v>
      </c>
      <c r="M209" s="10">
        <v>45177</v>
      </c>
      <c r="N209" s="11">
        <v>299.95</v>
      </c>
      <c r="O209" s="12" t="str">
        <f t="shared" si="15"/>
        <v>2025-02</v>
      </c>
      <c r="P209" s="12">
        <f t="shared" si="16"/>
        <v>2025</v>
      </c>
      <c r="Q209" s="12">
        <f t="shared" si="17"/>
        <v>1</v>
      </c>
      <c r="R209" s="12" t="str">
        <f t="shared" si="18"/>
        <v>SB</v>
      </c>
      <c r="S209" s="13">
        <f t="shared" ca="1" si="19"/>
        <v>46309.658403472225</v>
      </c>
    </row>
    <row r="210" spans="1:19" ht="15.75" customHeight="1" x14ac:dyDescent="0.3">
      <c r="A210" s="9" t="s">
        <v>375</v>
      </c>
      <c r="B210" s="10">
        <v>45701</v>
      </c>
      <c r="C210" s="9" t="s">
        <v>128</v>
      </c>
      <c r="D210" s="9" t="s">
        <v>129</v>
      </c>
      <c r="E210" s="9" t="s">
        <v>134</v>
      </c>
      <c r="F210" s="9" t="s">
        <v>135</v>
      </c>
      <c r="G210" s="9" t="s">
        <v>53</v>
      </c>
      <c r="H210" s="9">
        <v>3</v>
      </c>
      <c r="I210" s="11">
        <v>79.989999999999995</v>
      </c>
      <c r="J210" s="9" t="s">
        <v>40</v>
      </c>
      <c r="K210" s="9" t="s">
        <v>83</v>
      </c>
      <c r="L210" s="9" t="s">
        <v>47</v>
      </c>
      <c r="M210" s="10">
        <v>44436</v>
      </c>
      <c r="N210" s="11">
        <v>239.97</v>
      </c>
      <c r="O210" s="12" t="str">
        <f t="shared" si="15"/>
        <v>2025-02</v>
      </c>
      <c r="P210" s="12">
        <f t="shared" si="16"/>
        <v>2025</v>
      </c>
      <c r="Q210" s="12">
        <f t="shared" si="17"/>
        <v>3</v>
      </c>
      <c r="R210" s="12" t="str">
        <f t="shared" si="18"/>
        <v>NC</v>
      </c>
      <c r="S210" s="13">
        <f t="shared" ca="1" si="19"/>
        <v>46309.658403472225</v>
      </c>
    </row>
    <row r="211" spans="1:19" ht="15.75" customHeight="1" x14ac:dyDescent="0.3">
      <c r="A211" s="9" t="s">
        <v>376</v>
      </c>
      <c r="B211" s="10">
        <v>45704</v>
      </c>
      <c r="C211" s="9" t="s">
        <v>49</v>
      </c>
      <c r="D211" s="9" t="s">
        <v>50</v>
      </c>
      <c r="E211" s="9" t="s">
        <v>146</v>
      </c>
      <c r="F211" s="9" t="s">
        <v>147</v>
      </c>
      <c r="G211" s="9" t="s">
        <v>66</v>
      </c>
      <c r="H211" s="9">
        <v>3</v>
      </c>
      <c r="I211" s="11">
        <v>199.99</v>
      </c>
      <c r="J211" s="9" t="s">
        <v>40</v>
      </c>
      <c r="K211" s="9" t="s">
        <v>41</v>
      </c>
      <c r="L211" s="9" t="s">
        <v>42</v>
      </c>
      <c r="M211" s="10">
        <v>44735</v>
      </c>
      <c r="N211" s="11">
        <v>599.97</v>
      </c>
      <c r="O211" s="12" t="str">
        <f t="shared" si="15"/>
        <v>2025-02</v>
      </c>
      <c r="P211" s="12">
        <f t="shared" si="16"/>
        <v>2025</v>
      </c>
      <c r="Q211" s="12">
        <f t="shared" si="17"/>
        <v>2</v>
      </c>
      <c r="R211" s="12" t="str">
        <f t="shared" si="18"/>
        <v>KS</v>
      </c>
      <c r="S211" s="13">
        <f t="shared" ca="1" si="19"/>
        <v>46309.658403472225</v>
      </c>
    </row>
    <row r="212" spans="1:19" ht="15.75" customHeight="1" x14ac:dyDescent="0.3">
      <c r="A212" s="9" t="s">
        <v>377</v>
      </c>
      <c r="B212" s="10">
        <v>45704</v>
      </c>
      <c r="C212" s="9" t="s">
        <v>35</v>
      </c>
      <c r="D212" s="9" t="s">
        <v>36</v>
      </c>
      <c r="E212" s="9" t="s">
        <v>137</v>
      </c>
      <c r="F212" s="9" t="s">
        <v>138</v>
      </c>
      <c r="G212" s="9" t="s">
        <v>39</v>
      </c>
      <c r="H212" s="9">
        <v>2</v>
      </c>
      <c r="I212" s="11">
        <v>89.99</v>
      </c>
      <c r="J212" s="9" t="s">
        <v>54</v>
      </c>
      <c r="K212" s="9" t="s">
        <v>41</v>
      </c>
      <c r="L212" s="9" t="s">
        <v>42</v>
      </c>
      <c r="M212" s="10">
        <v>45257</v>
      </c>
      <c r="N212" s="11">
        <v>179.98</v>
      </c>
      <c r="O212" s="12" t="str">
        <f t="shared" si="15"/>
        <v>2025-02</v>
      </c>
      <c r="P212" s="12">
        <f t="shared" si="16"/>
        <v>2025</v>
      </c>
      <c r="Q212" s="12">
        <f t="shared" si="17"/>
        <v>1</v>
      </c>
      <c r="R212" s="12" t="str">
        <f t="shared" si="18"/>
        <v>PB</v>
      </c>
      <c r="S212" s="13">
        <f t="shared" ca="1" si="19"/>
        <v>46309.658403472225</v>
      </c>
    </row>
    <row r="213" spans="1:19" ht="15.75" customHeight="1" x14ac:dyDescent="0.3">
      <c r="A213" s="9" t="s">
        <v>378</v>
      </c>
      <c r="B213" s="10">
        <v>45705</v>
      </c>
      <c r="C213" s="9" t="s">
        <v>279</v>
      </c>
      <c r="D213" s="9" t="s">
        <v>280</v>
      </c>
      <c r="E213" s="9" t="s">
        <v>64</v>
      </c>
      <c r="F213" s="9" t="s">
        <v>65</v>
      </c>
      <c r="G213" s="9" t="s">
        <v>66</v>
      </c>
      <c r="H213" s="9">
        <v>2</v>
      </c>
      <c r="I213" s="11">
        <v>149.99</v>
      </c>
      <c r="J213" s="9" t="s">
        <v>40</v>
      </c>
      <c r="K213" s="9" t="s">
        <v>55</v>
      </c>
      <c r="L213" s="9" t="s">
        <v>47</v>
      </c>
      <c r="M213" s="10">
        <v>44728</v>
      </c>
      <c r="N213" s="11">
        <v>299.98</v>
      </c>
      <c r="O213" s="12" t="str">
        <f t="shared" si="15"/>
        <v>2025-02</v>
      </c>
      <c r="P213" s="12">
        <f t="shared" si="16"/>
        <v>2025</v>
      </c>
      <c r="Q213" s="12">
        <f t="shared" si="17"/>
        <v>2</v>
      </c>
      <c r="R213" s="12" t="str">
        <f t="shared" si="18"/>
        <v>RL</v>
      </c>
      <c r="S213" s="13">
        <f t="shared" ca="1" si="19"/>
        <v>46309.658403472225</v>
      </c>
    </row>
    <row r="214" spans="1:19" ht="15.75" customHeight="1" x14ac:dyDescent="0.3">
      <c r="A214" s="9" t="s">
        <v>379</v>
      </c>
      <c r="B214" s="10">
        <v>45707</v>
      </c>
      <c r="C214" s="9" t="s">
        <v>143</v>
      </c>
      <c r="D214" s="9" t="s">
        <v>144</v>
      </c>
      <c r="E214" s="9" t="s">
        <v>100</v>
      </c>
      <c r="F214" s="9" t="s">
        <v>101</v>
      </c>
      <c r="G214" s="9" t="s">
        <v>39</v>
      </c>
      <c r="H214" s="9">
        <v>5</v>
      </c>
      <c r="I214" s="11">
        <v>699.99</v>
      </c>
      <c r="J214" s="9" t="s">
        <v>54</v>
      </c>
      <c r="K214" s="9" t="s">
        <v>55</v>
      </c>
      <c r="L214" s="9" t="s">
        <v>47</v>
      </c>
      <c r="M214" s="10">
        <v>45352</v>
      </c>
      <c r="N214" s="11">
        <v>3499.95</v>
      </c>
      <c r="O214" s="12" t="str">
        <f t="shared" si="15"/>
        <v>2025-02</v>
      </c>
      <c r="P214" s="12">
        <f t="shared" si="16"/>
        <v>2025</v>
      </c>
      <c r="Q214" s="12">
        <f t="shared" si="17"/>
        <v>0</v>
      </c>
      <c r="R214" s="12" t="str">
        <f t="shared" si="18"/>
        <v>EM</v>
      </c>
      <c r="S214" s="13">
        <f t="shared" ca="1" si="19"/>
        <v>46309.658403472225</v>
      </c>
    </row>
    <row r="215" spans="1:19" ht="15.75" customHeight="1" x14ac:dyDescent="0.3">
      <c r="A215" s="9" t="s">
        <v>380</v>
      </c>
      <c r="B215" s="10">
        <v>45707</v>
      </c>
      <c r="C215" s="9" t="s">
        <v>62</v>
      </c>
      <c r="D215" s="9" t="s">
        <v>63</v>
      </c>
      <c r="E215" s="9" t="s">
        <v>64</v>
      </c>
      <c r="F215" s="9" t="s">
        <v>65</v>
      </c>
      <c r="G215" s="9" t="s">
        <v>66</v>
      </c>
      <c r="H215" s="9">
        <v>3</v>
      </c>
      <c r="I215" s="11">
        <v>149.99</v>
      </c>
      <c r="J215" s="9" t="s">
        <v>54</v>
      </c>
      <c r="K215" s="9" t="s">
        <v>41</v>
      </c>
      <c r="L215" s="9" t="s">
        <v>56</v>
      </c>
      <c r="M215" s="10">
        <v>44633</v>
      </c>
      <c r="N215" s="11">
        <v>449.97</v>
      </c>
      <c r="O215" s="12" t="str">
        <f t="shared" si="15"/>
        <v>2025-02</v>
      </c>
      <c r="P215" s="12">
        <f t="shared" si="16"/>
        <v>2025</v>
      </c>
      <c r="Q215" s="12">
        <f t="shared" si="17"/>
        <v>2</v>
      </c>
      <c r="R215" s="12" t="str">
        <f t="shared" si="18"/>
        <v>MB</v>
      </c>
      <c r="S215" s="13">
        <f t="shared" ca="1" si="19"/>
        <v>46309.658403472225</v>
      </c>
    </row>
    <row r="216" spans="1:19" ht="15.75" customHeight="1" x14ac:dyDescent="0.3">
      <c r="A216" s="9" t="s">
        <v>381</v>
      </c>
      <c r="B216" s="10">
        <v>45708</v>
      </c>
      <c r="C216" s="9" t="s">
        <v>116</v>
      </c>
      <c r="D216" s="9" t="s">
        <v>117</v>
      </c>
      <c r="E216" s="9" t="s">
        <v>81</v>
      </c>
      <c r="F216" s="9" t="s">
        <v>82</v>
      </c>
      <c r="G216" s="9" t="s">
        <v>39</v>
      </c>
      <c r="H216" s="9">
        <v>3</v>
      </c>
      <c r="I216" s="11">
        <v>899.99</v>
      </c>
      <c r="J216" s="9" t="s">
        <v>40</v>
      </c>
      <c r="K216" s="9" t="s">
        <v>83</v>
      </c>
      <c r="L216" s="9" t="s">
        <v>56</v>
      </c>
      <c r="M216" s="10">
        <v>44613</v>
      </c>
      <c r="N216" s="11">
        <v>2699.97</v>
      </c>
      <c r="O216" s="12" t="str">
        <f t="shared" si="15"/>
        <v>2025-02</v>
      </c>
      <c r="P216" s="12">
        <f t="shared" si="16"/>
        <v>2025</v>
      </c>
      <c r="Q216" s="12">
        <f t="shared" si="17"/>
        <v>2</v>
      </c>
      <c r="R216" s="12" t="str">
        <f t="shared" si="18"/>
        <v>BY</v>
      </c>
      <c r="S216" s="13">
        <f t="shared" ca="1" si="19"/>
        <v>46309.658403472225</v>
      </c>
    </row>
    <row r="217" spans="1:19" ht="15.75" customHeight="1" x14ac:dyDescent="0.3">
      <c r="A217" s="9" t="s">
        <v>382</v>
      </c>
      <c r="B217" s="10">
        <v>45708</v>
      </c>
      <c r="C217" s="9" t="s">
        <v>212</v>
      </c>
      <c r="D217" s="9" t="s">
        <v>213</v>
      </c>
      <c r="E217" s="9" t="s">
        <v>146</v>
      </c>
      <c r="F217" s="9" t="s">
        <v>147</v>
      </c>
      <c r="G217" s="9" t="s">
        <v>66</v>
      </c>
      <c r="H217" s="9">
        <v>3</v>
      </c>
      <c r="I217" s="11">
        <v>199.99</v>
      </c>
      <c r="J217" s="9" t="s">
        <v>40</v>
      </c>
      <c r="K217" s="9" t="s">
        <v>70</v>
      </c>
      <c r="L217" s="9" t="s">
        <v>47</v>
      </c>
      <c r="M217" s="10">
        <v>44823</v>
      </c>
      <c r="N217" s="11">
        <v>599.97</v>
      </c>
      <c r="O217" s="12" t="str">
        <f t="shared" si="15"/>
        <v>2025-02</v>
      </c>
      <c r="P217" s="12">
        <f t="shared" si="16"/>
        <v>2025</v>
      </c>
      <c r="Q217" s="12">
        <f t="shared" si="17"/>
        <v>2</v>
      </c>
      <c r="R217" s="12" t="str">
        <f t="shared" si="18"/>
        <v>FT</v>
      </c>
      <c r="S217" s="13">
        <f t="shared" ca="1" si="19"/>
        <v>46309.658403472225</v>
      </c>
    </row>
    <row r="218" spans="1:19" ht="15.75" customHeight="1" x14ac:dyDescent="0.3">
      <c r="A218" s="9" t="s">
        <v>383</v>
      </c>
      <c r="B218" s="10">
        <v>45710</v>
      </c>
      <c r="C218" s="9" t="s">
        <v>75</v>
      </c>
      <c r="D218" s="9" t="s">
        <v>76</v>
      </c>
      <c r="E218" s="9" t="s">
        <v>125</v>
      </c>
      <c r="F218" s="9" t="s">
        <v>126</v>
      </c>
      <c r="G218" s="9" t="s">
        <v>66</v>
      </c>
      <c r="H218" s="9">
        <v>5</v>
      </c>
      <c r="I218" s="11">
        <v>299.99</v>
      </c>
      <c r="J218" s="9" t="s">
        <v>40</v>
      </c>
      <c r="K218" s="9" t="s">
        <v>70</v>
      </c>
      <c r="L218" s="9" t="s">
        <v>56</v>
      </c>
      <c r="M218" s="10">
        <v>45142</v>
      </c>
      <c r="N218" s="11">
        <v>1499.95</v>
      </c>
      <c r="O218" s="12" t="str">
        <f t="shared" si="15"/>
        <v>2025-02</v>
      </c>
      <c r="P218" s="12">
        <f t="shared" si="16"/>
        <v>2025</v>
      </c>
      <c r="Q218" s="12">
        <f t="shared" si="17"/>
        <v>1</v>
      </c>
      <c r="R218" s="12" t="str">
        <f t="shared" si="18"/>
        <v>CA</v>
      </c>
      <c r="S218" s="13">
        <f t="shared" ca="1" si="19"/>
        <v>46309.658403472225</v>
      </c>
    </row>
    <row r="219" spans="1:19" ht="15.75" customHeight="1" x14ac:dyDescent="0.3">
      <c r="A219" s="9" t="s">
        <v>384</v>
      </c>
      <c r="B219" s="10">
        <v>45710</v>
      </c>
      <c r="C219" s="9" t="s">
        <v>170</v>
      </c>
      <c r="D219" s="9" t="s">
        <v>171</v>
      </c>
      <c r="E219" s="9" t="s">
        <v>100</v>
      </c>
      <c r="F219" s="9" t="s">
        <v>101</v>
      </c>
      <c r="G219" s="9" t="s">
        <v>39</v>
      </c>
      <c r="H219" s="9">
        <v>1</v>
      </c>
      <c r="I219" s="11">
        <v>699.99</v>
      </c>
      <c r="J219" s="9" t="s">
        <v>54</v>
      </c>
      <c r="K219" s="9" t="s">
        <v>70</v>
      </c>
      <c r="L219" s="9" t="s">
        <v>42</v>
      </c>
      <c r="M219" s="10">
        <v>44934</v>
      </c>
      <c r="N219" s="11">
        <v>699.99</v>
      </c>
      <c r="O219" s="12" t="str">
        <f t="shared" si="15"/>
        <v>2025-02</v>
      </c>
      <c r="P219" s="12">
        <f t="shared" si="16"/>
        <v>2025</v>
      </c>
      <c r="Q219" s="12">
        <f t="shared" si="17"/>
        <v>2</v>
      </c>
      <c r="R219" s="12" t="str">
        <f t="shared" si="18"/>
        <v>SB</v>
      </c>
      <c r="S219" s="13">
        <f t="shared" ca="1" si="19"/>
        <v>46309.658403472225</v>
      </c>
    </row>
    <row r="220" spans="1:19" ht="15.75" customHeight="1" x14ac:dyDescent="0.3">
      <c r="A220" s="9" t="s">
        <v>385</v>
      </c>
      <c r="B220" s="10">
        <v>45711</v>
      </c>
      <c r="C220" s="9" t="s">
        <v>266</v>
      </c>
      <c r="D220" s="9" t="s">
        <v>267</v>
      </c>
      <c r="E220" s="9" t="s">
        <v>100</v>
      </c>
      <c r="F220" s="9" t="s">
        <v>101</v>
      </c>
      <c r="G220" s="9" t="s">
        <v>39</v>
      </c>
      <c r="H220" s="9">
        <v>1</v>
      </c>
      <c r="I220" s="11">
        <v>699.99</v>
      </c>
      <c r="J220" s="9" t="s">
        <v>40</v>
      </c>
      <c r="K220" s="9" t="s">
        <v>60</v>
      </c>
      <c r="L220" s="9" t="s">
        <v>47</v>
      </c>
      <c r="M220" s="10">
        <v>44583</v>
      </c>
      <c r="N220" s="11">
        <v>699.99</v>
      </c>
      <c r="O220" s="12" t="str">
        <f t="shared" si="15"/>
        <v>2025-02</v>
      </c>
      <c r="P220" s="12">
        <f t="shared" si="16"/>
        <v>2025</v>
      </c>
      <c r="Q220" s="12">
        <f t="shared" si="17"/>
        <v>3</v>
      </c>
      <c r="R220" s="12" t="str">
        <f t="shared" si="18"/>
        <v>RB</v>
      </c>
      <c r="S220" s="13">
        <f t="shared" ca="1" si="19"/>
        <v>46309.658403472225</v>
      </c>
    </row>
    <row r="221" spans="1:19" ht="15.75" customHeight="1" x14ac:dyDescent="0.3">
      <c r="A221" s="9" t="s">
        <v>386</v>
      </c>
      <c r="B221" s="10">
        <v>45711</v>
      </c>
      <c r="C221" s="9" t="s">
        <v>345</v>
      </c>
      <c r="D221" s="9" t="s">
        <v>346</v>
      </c>
      <c r="E221" s="9" t="s">
        <v>64</v>
      </c>
      <c r="F221" s="9" t="s">
        <v>65</v>
      </c>
      <c r="G221" s="9" t="s">
        <v>66</v>
      </c>
      <c r="H221" s="9">
        <v>4</v>
      </c>
      <c r="I221" s="11">
        <v>149.99</v>
      </c>
      <c r="J221" s="9" t="s">
        <v>54</v>
      </c>
      <c r="K221" s="9" t="s">
        <v>60</v>
      </c>
      <c r="L221" s="9" t="s">
        <v>47</v>
      </c>
      <c r="M221" s="10">
        <v>44412</v>
      </c>
      <c r="N221" s="11">
        <v>599.96</v>
      </c>
      <c r="O221" s="12" t="str">
        <f t="shared" si="15"/>
        <v>2025-02</v>
      </c>
      <c r="P221" s="12">
        <f t="shared" si="16"/>
        <v>2025</v>
      </c>
      <c r="Q221" s="12">
        <f t="shared" si="17"/>
        <v>3</v>
      </c>
      <c r="R221" s="12" t="str">
        <f t="shared" si="18"/>
        <v>AE</v>
      </c>
      <c r="S221" s="13">
        <f t="shared" ca="1" si="19"/>
        <v>46309.658403472225</v>
      </c>
    </row>
    <row r="222" spans="1:19" ht="15.75" customHeight="1" x14ac:dyDescent="0.3">
      <c r="A222" s="9" t="s">
        <v>387</v>
      </c>
      <c r="B222" s="10">
        <v>45711</v>
      </c>
      <c r="C222" s="9" t="s">
        <v>231</v>
      </c>
      <c r="D222" s="9" t="s">
        <v>232</v>
      </c>
      <c r="E222" s="9" t="s">
        <v>137</v>
      </c>
      <c r="F222" s="9" t="s">
        <v>138</v>
      </c>
      <c r="G222" s="9" t="s">
        <v>39</v>
      </c>
      <c r="H222" s="9">
        <v>5</v>
      </c>
      <c r="I222" s="11">
        <v>89.99</v>
      </c>
      <c r="J222" s="9" t="s">
        <v>54</v>
      </c>
      <c r="K222" s="9" t="s">
        <v>70</v>
      </c>
      <c r="L222" s="9" t="s">
        <v>47</v>
      </c>
      <c r="M222" s="10">
        <v>45140</v>
      </c>
      <c r="N222" s="11">
        <v>449.95</v>
      </c>
      <c r="O222" s="12" t="str">
        <f t="shared" si="15"/>
        <v>2025-02</v>
      </c>
      <c r="P222" s="12">
        <f t="shared" si="16"/>
        <v>2025</v>
      </c>
      <c r="Q222" s="12">
        <f t="shared" si="17"/>
        <v>1</v>
      </c>
      <c r="R222" s="12" t="str">
        <f t="shared" si="18"/>
        <v>EH</v>
      </c>
      <c r="S222" s="13">
        <f t="shared" ca="1" si="19"/>
        <v>46309.658403472225</v>
      </c>
    </row>
    <row r="223" spans="1:19" ht="15.75" customHeight="1" x14ac:dyDescent="0.3">
      <c r="A223" s="9" t="s">
        <v>388</v>
      </c>
      <c r="B223" s="10">
        <v>45712</v>
      </c>
      <c r="C223" s="9" t="s">
        <v>158</v>
      </c>
      <c r="D223" s="9" t="s">
        <v>159</v>
      </c>
      <c r="E223" s="9" t="s">
        <v>146</v>
      </c>
      <c r="F223" s="9" t="s">
        <v>147</v>
      </c>
      <c r="G223" s="9" t="s">
        <v>66</v>
      </c>
      <c r="H223" s="9">
        <v>2</v>
      </c>
      <c r="I223" s="11">
        <v>199.99</v>
      </c>
      <c r="J223" s="9" t="s">
        <v>40</v>
      </c>
      <c r="K223" s="9" t="s">
        <v>41</v>
      </c>
      <c r="L223" s="9" t="s">
        <v>47</v>
      </c>
      <c r="M223" s="10">
        <v>44573</v>
      </c>
      <c r="N223" s="11">
        <v>399.98</v>
      </c>
      <c r="O223" s="12" t="str">
        <f t="shared" si="15"/>
        <v>2025-02</v>
      </c>
      <c r="P223" s="12">
        <f t="shared" si="16"/>
        <v>2025</v>
      </c>
      <c r="Q223" s="12">
        <f t="shared" si="17"/>
        <v>3</v>
      </c>
      <c r="R223" s="12" t="str">
        <f t="shared" si="18"/>
        <v>ST</v>
      </c>
      <c r="S223" s="13">
        <f t="shared" ca="1" si="19"/>
        <v>46309.658403472225</v>
      </c>
    </row>
    <row r="224" spans="1:19" ht="15.75" customHeight="1" x14ac:dyDescent="0.3">
      <c r="A224" s="9" t="s">
        <v>389</v>
      </c>
      <c r="B224" s="10">
        <v>45715</v>
      </c>
      <c r="C224" s="9" t="s">
        <v>279</v>
      </c>
      <c r="D224" s="9" t="s">
        <v>280</v>
      </c>
      <c r="E224" s="9" t="s">
        <v>51</v>
      </c>
      <c r="F224" s="9" t="s">
        <v>52</v>
      </c>
      <c r="G224" s="9" t="s">
        <v>53</v>
      </c>
      <c r="H224" s="9">
        <v>4</v>
      </c>
      <c r="I224" s="11">
        <v>59.99</v>
      </c>
      <c r="J224" s="9" t="s">
        <v>40</v>
      </c>
      <c r="K224" s="9" t="s">
        <v>70</v>
      </c>
      <c r="L224" s="9" t="s">
        <v>56</v>
      </c>
      <c r="M224" s="10">
        <v>45070</v>
      </c>
      <c r="N224" s="11">
        <v>239.96</v>
      </c>
      <c r="O224" s="12" t="str">
        <f t="shared" si="15"/>
        <v>2025-02</v>
      </c>
      <c r="P224" s="12">
        <f t="shared" si="16"/>
        <v>2025</v>
      </c>
      <c r="Q224" s="12">
        <f t="shared" si="17"/>
        <v>1</v>
      </c>
      <c r="R224" s="12" t="str">
        <f t="shared" si="18"/>
        <v>RL</v>
      </c>
      <c r="S224" s="13">
        <f t="shared" ca="1" si="19"/>
        <v>46309.658403472225</v>
      </c>
    </row>
    <row r="225" spans="1:19" ht="15.75" customHeight="1" x14ac:dyDescent="0.3">
      <c r="A225" s="9" t="s">
        <v>390</v>
      </c>
      <c r="B225" s="10">
        <v>45715</v>
      </c>
      <c r="C225" s="9" t="s">
        <v>113</v>
      </c>
      <c r="D225" s="9" t="s">
        <v>114</v>
      </c>
      <c r="E225" s="9" t="s">
        <v>125</v>
      </c>
      <c r="F225" s="9" t="s">
        <v>126</v>
      </c>
      <c r="G225" s="9" t="s">
        <v>66</v>
      </c>
      <c r="H225" s="9">
        <v>2</v>
      </c>
      <c r="I225" s="11">
        <v>299.99</v>
      </c>
      <c r="J225" s="9" t="s">
        <v>54</v>
      </c>
      <c r="K225" s="9" t="s">
        <v>55</v>
      </c>
      <c r="L225" s="9" t="s">
        <v>42</v>
      </c>
      <c r="M225" s="10">
        <v>44576</v>
      </c>
      <c r="N225" s="11">
        <v>599.98</v>
      </c>
      <c r="O225" s="12" t="str">
        <f t="shared" si="15"/>
        <v>2025-02</v>
      </c>
      <c r="P225" s="12">
        <f t="shared" si="16"/>
        <v>2025</v>
      </c>
      <c r="Q225" s="12">
        <f t="shared" si="17"/>
        <v>3</v>
      </c>
      <c r="R225" s="12" t="str">
        <f t="shared" si="18"/>
        <v>VS</v>
      </c>
      <c r="S225" s="13">
        <f t="shared" ca="1" si="19"/>
        <v>46309.658403472225</v>
      </c>
    </row>
    <row r="226" spans="1:19" ht="15.75" customHeight="1" x14ac:dyDescent="0.3">
      <c r="A226" s="9" t="s">
        <v>391</v>
      </c>
      <c r="B226" s="10">
        <v>45718</v>
      </c>
      <c r="C226" s="9" t="s">
        <v>75</v>
      </c>
      <c r="D226" s="9" t="s">
        <v>76</v>
      </c>
      <c r="E226" s="9" t="s">
        <v>64</v>
      </c>
      <c r="F226" s="9" t="s">
        <v>65</v>
      </c>
      <c r="G226" s="9" t="s">
        <v>66</v>
      </c>
      <c r="H226" s="9">
        <v>2</v>
      </c>
      <c r="I226" s="11">
        <v>149.99</v>
      </c>
      <c r="J226" s="9" t="s">
        <v>40</v>
      </c>
      <c r="K226" s="9" t="s">
        <v>41</v>
      </c>
      <c r="L226" s="9" t="s">
        <v>42</v>
      </c>
      <c r="M226" s="10">
        <v>45068</v>
      </c>
      <c r="N226" s="11">
        <v>299.98</v>
      </c>
      <c r="O226" s="12" t="str">
        <f t="shared" si="15"/>
        <v>2025-03</v>
      </c>
      <c r="P226" s="12">
        <f t="shared" si="16"/>
        <v>2025</v>
      </c>
      <c r="Q226" s="12">
        <f t="shared" si="17"/>
        <v>1</v>
      </c>
      <c r="R226" s="12" t="str">
        <f t="shared" si="18"/>
        <v>CA</v>
      </c>
      <c r="S226" s="13">
        <f t="shared" ca="1" si="19"/>
        <v>46309.658403472225</v>
      </c>
    </row>
    <row r="227" spans="1:19" ht="15.75" customHeight="1" x14ac:dyDescent="0.3">
      <c r="A227" s="9" t="s">
        <v>392</v>
      </c>
      <c r="B227" s="10">
        <v>45720</v>
      </c>
      <c r="C227" s="9" t="s">
        <v>246</v>
      </c>
      <c r="D227" s="9" t="s">
        <v>247</v>
      </c>
      <c r="E227" s="9" t="s">
        <v>100</v>
      </c>
      <c r="F227" s="9" t="s">
        <v>101</v>
      </c>
      <c r="G227" s="9" t="s">
        <v>39</v>
      </c>
      <c r="H227" s="9">
        <v>5</v>
      </c>
      <c r="I227" s="11">
        <v>699.99</v>
      </c>
      <c r="J227" s="9" t="s">
        <v>77</v>
      </c>
      <c r="K227" s="9" t="s">
        <v>83</v>
      </c>
      <c r="L227" s="9" t="s">
        <v>47</v>
      </c>
      <c r="M227" s="10">
        <v>45161</v>
      </c>
      <c r="N227" s="11">
        <v>3499.95</v>
      </c>
      <c r="O227" s="12" t="str">
        <f t="shared" si="15"/>
        <v>2025-03</v>
      </c>
      <c r="P227" s="12">
        <f t="shared" si="16"/>
        <v>2025</v>
      </c>
      <c r="Q227" s="12">
        <f t="shared" si="17"/>
        <v>1</v>
      </c>
      <c r="R227" s="12" t="str">
        <f t="shared" si="18"/>
        <v>LR</v>
      </c>
      <c r="S227" s="13">
        <f t="shared" ca="1" si="19"/>
        <v>46309.658403472225</v>
      </c>
    </row>
    <row r="228" spans="1:19" ht="15.75" customHeight="1" x14ac:dyDescent="0.3">
      <c r="A228" s="9" t="s">
        <v>393</v>
      </c>
      <c r="B228" s="10">
        <v>45721</v>
      </c>
      <c r="C228" s="9" t="s">
        <v>95</v>
      </c>
      <c r="D228" s="9" t="s">
        <v>96</v>
      </c>
      <c r="E228" s="9" t="s">
        <v>51</v>
      </c>
      <c r="F228" s="9" t="s">
        <v>52</v>
      </c>
      <c r="G228" s="9" t="s">
        <v>53</v>
      </c>
      <c r="H228" s="9">
        <v>5</v>
      </c>
      <c r="I228" s="11">
        <v>59.99</v>
      </c>
      <c r="J228" s="9" t="s">
        <v>40</v>
      </c>
      <c r="K228" s="9" t="s">
        <v>70</v>
      </c>
      <c r="L228" s="9" t="s">
        <v>47</v>
      </c>
      <c r="M228" s="10">
        <v>45291</v>
      </c>
      <c r="N228" s="11">
        <v>299.95</v>
      </c>
      <c r="O228" s="12" t="str">
        <f t="shared" si="15"/>
        <v>2025-03</v>
      </c>
      <c r="P228" s="12">
        <f t="shared" si="16"/>
        <v>2025</v>
      </c>
      <c r="Q228" s="12">
        <f t="shared" si="17"/>
        <v>1</v>
      </c>
      <c r="R228" s="12" t="str">
        <f t="shared" si="18"/>
        <v>DG</v>
      </c>
      <c r="S228" s="13">
        <f t="shared" ca="1" si="19"/>
        <v>46309.658403472225</v>
      </c>
    </row>
    <row r="229" spans="1:19" ht="15.75" customHeight="1" x14ac:dyDescent="0.3">
      <c r="A229" s="9" t="s">
        <v>394</v>
      </c>
      <c r="B229" s="10">
        <v>45723</v>
      </c>
      <c r="C229" s="9" t="s">
        <v>35</v>
      </c>
      <c r="D229" s="9" t="s">
        <v>36</v>
      </c>
      <c r="E229" s="9" t="s">
        <v>137</v>
      </c>
      <c r="F229" s="9" t="s">
        <v>138</v>
      </c>
      <c r="G229" s="9" t="s">
        <v>39</v>
      </c>
      <c r="H229" s="9">
        <v>2</v>
      </c>
      <c r="I229" s="11">
        <v>89.99</v>
      </c>
      <c r="J229" s="9" t="s">
        <v>46</v>
      </c>
      <c r="K229" s="9" t="s">
        <v>70</v>
      </c>
      <c r="L229" s="9" t="s">
        <v>47</v>
      </c>
      <c r="M229" s="10">
        <v>45295</v>
      </c>
      <c r="N229" s="11">
        <v>179.98</v>
      </c>
      <c r="O229" s="12" t="str">
        <f t="shared" si="15"/>
        <v>2025-03</v>
      </c>
      <c r="P229" s="12">
        <f t="shared" si="16"/>
        <v>2025</v>
      </c>
      <c r="Q229" s="12">
        <f t="shared" si="17"/>
        <v>1</v>
      </c>
      <c r="R229" s="12" t="str">
        <f t="shared" si="18"/>
        <v>PB</v>
      </c>
      <c r="S229" s="13">
        <f t="shared" ca="1" si="19"/>
        <v>46309.658403472225</v>
      </c>
    </row>
    <row r="230" spans="1:19" ht="15.75" customHeight="1" x14ac:dyDescent="0.3">
      <c r="A230" s="9" t="s">
        <v>395</v>
      </c>
      <c r="B230" s="10">
        <v>45723</v>
      </c>
      <c r="C230" s="9" t="s">
        <v>140</v>
      </c>
      <c r="D230" s="9" t="s">
        <v>141</v>
      </c>
      <c r="E230" s="9" t="s">
        <v>37</v>
      </c>
      <c r="F230" s="9" t="s">
        <v>38</v>
      </c>
      <c r="G230" s="9" t="s">
        <v>39</v>
      </c>
      <c r="H230" s="9">
        <v>5</v>
      </c>
      <c r="I230" s="11">
        <v>249.99</v>
      </c>
      <c r="J230" s="9" t="s">
        <v>40</v>
      </c>
      <c r="K230" s="9" t="s">
        <v>83</v>
      </c>
      <c r="L230" s="9" t="s">
        <v>56</v>
      </c>
      <c r="M230" s="10">
        <v>44540</v>
      </c>
      <c r="N230" s="11">
        <v>1249.95</v>
      </c>
      <c r="O230" s="12" t="str">
        <f t="shared" si="15"/>
        <v>2025-03</v>
      </c>
      <c r="P230" s="12">
        <f t="shared" si="16"/>
        <v>2025</v>
      </c>
      <c r="Q230" s="12">
        <f t="shared" si="17"/>
        <v>3</v>
      </c>
      <c r="R230" s="12" t="str">
        <f t="shared" si="18"/>
        <v>HR</v>
      </c>
      <c r="S230" s="13">
        <f t="shared" ca="1" si="19"/>
        <v>46309.658403472225</v>
      </c>
    </row>
    <row r="231" spans="1:19" ht="15.75" customHeight="1" x14ac:dyDescent="0.3">
      <c r="A231" s="9" t="s">
        <v>396</v>
      </c>
      <c r="B231" s="10">
        <v>45724</v>
      </c>
      <c r="C231" s="9" t="s">
        <v>246</v>
      </c>
      <c r="D231" s="9" t="s">
        <v>247</v>
      </c>
      <c r="E231" s="9" t="s">
        <v>64</v>
      </c>
      <c r="F231" s="9" t="s">
        <v>65</v>
      </c>
      <c r="G231" s="9" t="s">
        <v>66</v>
      </c>
      <c r="H231" s="9">
        <v>2</v>
      </c>
      <c r="I231" s="11">
        <v>149.99</v>
      </c>
      <c r="J231" s="9" t="s">
        <v>54</v>
      </c>
      <c r="K231" s="9" t="s">
        <v>41</v>
      </c>
      <c r="L231" s="9" t="s">
        <v>47</v>
      </c>
      <c r="M231" s="10">
        <v>44632</v>
      </c>
      <c r="N231" s="11">
        <v>299.98</v>
      </c>
      <c r="O231" s="12" t="str">
        <f t="shared" si="15"/>
        <v>2025-03</v>
      </c>
      <c r="P231" s="12">
        <f t="shared" si="16"/>
        <v>2025</v>
      </c>
      <c r="Q231" s="12">
        <f t="shared" si="17"/>
        <v>2</v>
      </c>
      <c r="R231" s="12" t="str">
        <f t="shared" si="18"/>
        <v>LR</v>
      </c>
      <c r="S231" s="13">
        <f t="shared" ca="1" si="19"/>
        <v>46309.658403472225</v>
      </c>
    </row>
    <row r="232" spans="1:19" ht="15.75" customHeight="1" x14ac:dyDescent="0.3">
      <c r="A232" s="9" t="s">
        <v>397</v>
      </c>
      <c r="B232" s="10">
        <v>45724</v>
      </c>
      <c r="C232" s="9" t="s">
        <v>164</v>
      </c>
      <c r="D232" s="9" t="s">
        <v>165</v>
      </c>
      <c r="E232" s="9" t="s">
        <v>81</v>
      </c>
      <c r="F232" s="9" t="s">
        <v>82</v>
      </c>
      <c r="G232" s="9" t="s">
        <v>39</v>
      </c>
      <c r="H232" s="9">
        <v>5</v>
      </c>
      <c r="I232" s="11">
        <v>899.99</v>
      </c>
      <c r="J232" s="9" t="s">
        <v>54</v>
      </c>
      <c r="K232" s="9" t="s">
        <v>83</v>
      </c>
      <c r="L232" s="9" t="s">
        <v>47</v>
      </c>
      <c r="M232" s="10">
        <v>45389</v>
      </c>
      <c r="N232" s="11">
        <v>4499.95</v>
      </c>
      <c r="O232" s="12" t="str">
        <f t="shared" si="15"/>
        <v>2025-03</v>
      </c>
      <c r="P232" s="12">
        <f t="shared" si="16"/>
        <v>2025</v>
      </c>
      <c r="Q232" s="12">
        <f t="shared" si="17"/>
        <v>0</v>
      </c>
      <c r="R232" s="12" t="str">
        <f t="shared" si="18"/>
        <v>HM</v>
      </c>
      <c r="S232" s="13">
        <f t="shared" ca="1" si="19"/>
        <v>46309.658403472225</v>
      </c>
    </row>
    <row r="233" spans="1:19" ht="15.75" customHeight="1" x14ac:dyDescent="0.3">
      <c r="A233" s="9" t="s">
        <v>398</v>
      </c>
      <c r="B233" s="10">
        <v>45724</v>
      </c>
      <c r="C233" s="9" t="s">
        <v>75</v>
      </c>
      <c r="D233" s="9" t="s">
        <v>76</v>
      </c>
      <c r="E233" s="9" t="s">
        <v>64</v>
      </c>
      <c r="F233" s="9" t="s">
        <v>65</v>
      </c>
      <c r="G233" s="9" t="s">
        <v>66</v>
      </c>
      <c r="H233" s="9">
        <v>4</v>
      </c>
      <c r="I233" s="11">
        <v>149.99</v>
      </c>
      <c r="J233" s="9" t="s">
        <v>40</v>
      </c>
      <c r="K233" s="9" t="s">
        <v>41</v>
      </c>
      <c r="L233" s="9" t="s">
        <v>56</v>
      </c>
      <c r="M233" s="10">
        <v>45263</v>
      </c>
      <c r="N233" s="11">
        <v>599.96</v>
      </c>
      <c r="O233" s="12" t="str">
        <f t="shared" si="15"/>
        <v>2025-03</v>
      </c>
      <c r="P233" s="12">
        <f t="shared" si="16"/>
        <v>2025</v>
      </c>
      <c r="Q233" s="12">
        <f t="shared" si="17"/>
        <v>1</v>
      </c>
      <c r="R233" s="12" t="str">
        <f t="shared" si="18"/>
        <v>CA</v>
      </c>
      <c r="S233" s="13">
        <f t="shared" ca="1" si="19"/>
        <v>46309.658403472225</v>
      </c>
    </row>
    <row r="234" spans="1:19" ht="15.75" customHeight="1" x14ac:dyDescent="0.3">
      <c r="A234" s="9" t="s">
        <v>399</v>
      </c>
      <c r="B234" s="10">
        <v>45726</v>
      </c>
      <c r="C234" s="9" t="s">
        <v>164</v>
      </c>
      <c r="D234" s="9" t="s">
        <v>165</v>
      </c>
      <c r="E234" s="9" t="s">
        <v>37</v>
      </c>
      <c r="F234" s="9" t="s">
        <v>38</v>
      </c>
      <c r="G234" s="9" t="s">
        <v>39</v>
      </c>
      <c r="H234" s="9">
        <v>1</v>
      </c>
      <c r="I234" s="11">
        <v>249.99</v>
      </c>
      <c r="J234" s="9" t="s">
        <v>40</v>
      </c>
      <c r="K234" s="9" t="s">
        <v>60</v>
      </c>
      <c r="L234" s="9" t="s">
        <v>56</v>
      </c>
      <c r="M234" s="10">
        <v>45117</v>
      </c>
      <c r="N234" s="11">
        <v>249.99</v>
      </c>
      <c r="O234" s="12" t="str">
        <f t="shared" si="15"/>
        <v>2025-03</v>
      </c>
      <c r="P234" s="12">
        <f t="shared" si="16"/>
        <v>2025</v>
      </c>
      <c r="Q234" s="12">
        <f t="shared" si="17"/>
        <v>1</v>
      </c>
      <c r="R234" s="12" t="str">
        <f t="shared" si="18"/>
        <v>HM</v>
      </c>
      <c r="S234" s="13">
        <f t="shared" ca="1" si="19"/>
        <v>46309.658403472225</v>
      </c>
    </row>
    <row r="235" spans="1:19" ht="15.75" customHeight="1" x14ac:dyDescent="0.3">
      <c r="A235" s="9" t="s">
        <v>400</v>
      </c>
      <c r="B235" s="10">
        <v>45734</v>
      </c>
      <c r="C235" s="9" t="s">
        <v>212</v>
      </c>
      <c r="D235" s="9" t="s">
        <v>213</v>
      </c>
      <c r="E235" s="9" t="s">
        <v>51</v>
      </c>
      <c r="F235" s="9" t="s">
        <v>52</v>
      </c>
      <c r="G235" s="9" t="s">
        <v>53</v>
      </c>
      <c r="H235" s="9">
        <v>2</v>
      </c>
      <c r="I235" s="11">
        <v>59.99</v>
      </c>
      <c r="J235" s="9" t="s">
        <v>46</v>
      </c>
      <c r="K235" s="9" t="s">
        <v>70</v>
      </c>
      <c r="L235" s="9" t="s">
        <v>42</v>
      </c>
      <c r="M235" s="10">
        <v>45193</v>
      </c>
      <c r="N235" s="11">
        <v>119.98</v>
      </c>
      <c r="O235" s="12" t="str">
        <f t="shared" si="15"/>
        <v>2025-03</v>
      </c>
      <c r="P235" s="12">
        <f t="shared" si="16"/>
        <v>2025</v>
      </c>
      <c r="Q235" s="12">
        <f t="shared" si="17"/>
        <v>1</v>
      </c>
      <c r="R235" s="12" t="str">
        <f t="shared" si="18"/>
        <v>FT</v>
      </c>
      <c r="S235" s="13">
        <f t="shared" ca="1" si="19"/>
        <v>46309.658403472225</v>
      </c>
    </row>
    <row r="236" spans="1:19" ht="15.75" customHeight="1" x14ac:dyDescent="0.3">
      <c r="A236" s="9" t="s">
        <v>401</v>
      </c>
      <c r="B236" s="10">
        <v>45737</v>
      </c>
      <c r="C236" s="9" t="s">
        <v>152</v>
      </c>
      <c r="D236" s="9" t="s">
        <v>153</v>
      </c>
      <c r="E236" s="9" t="s">
        <v>64</v>
      </c>
      <c r="F236" s="9" t="s">
        <v>65</v>
      </c>
      <c r="G236" s="9" t="s">
        <v>66</v>
      </c>
      <c r="H236" s="9">
        <v>2</v>
      </c>
      <c r="I236" s="11">
        <v>149.99</v>
      </c>
      <c r="J236" s="9" t="s">
        <v>40</v>
      </c>
      <c r="K236" s="9" t="s">
        <v>70</v>
      </c>
      <c r="L236" s="9" t="s">
        <v>47</v>
      </c>
      <c r="M236" s="10">
        <v>45233</v>
      </c>
      <c r="N236" s="11">
        <v>299.98</v>
      </c>
      <c r="O236" s="12" t="str">
        <f t="shared" si="15"/>
        <v>2025-03</v>
      </c>
      <c r="P236" s="12">
        <f t="shared" si="16"/>
        <v>2025</v>
      </c>
      <c r="Q236" s="12">
        <f t="shared" si="17"/>
        <v>1</v>
      </c>
      <c r="R236" s="12" t="str">
        <f t="shared" si="18"/>
        <v>EW</v>
      </c>
      <c r="S236" s="13">
        <f t="shared" ca="1" si="19"/>
        <v>46309.658403472225</v>
      </c>
    </row>
    <row r="237" spans="1:19" ht="15.75" customHeight="1" x14ac:dyDescent="0.3">
      <c r="A237" s="9" t="s">
        <v>402</v>
      </c>
      <c r="B237" s="10">
        <v>45737</v>
      </c>
      <c r="C237" s="9" t="s">
        <v>170</v>
      </c>
      <c r="D237" s="9" t="s">
        <v>171</v>
      </c>
      <c r="E237" s="9" t="s">
        <v>81</v>
      </c>
      <c r="F237" s="9" t="s">
        <v>82</v>
      </c>
      <c r="G237" s="9" t="s">
        <v>39</v>
      </c>
      <c r="H237" s="9">
        <v>3</v>
      </c>
      <c r="I237" s="11">
        <v>899.99</v>
      </c>
      <c r="J237" s="9" t="s">
        <v>77</v>
      </c>
      <c r="K237" s="9" t="s">
        <v>60</v>
      </c>
      <c r="L237" s="9" t="s">
        <v>47</v>
      </c>
      <c r="M237" s="10">
        <v>44876</v>
      </c>
      <c r="N237" s="11">
        <v>2699.97</v>
      </c>
      <c r="O237" s="12" t="str">
        <f t="shared" si="15"/>
        <v>2025-03</v>
      </c>
      <c r="P237" s="12">
        <f t="shared" si="16"/>
        <v>2025</v>
      </c>
      <c r="Q237" s="12">
        <f t="shared" si="17"/>
        <v>2</v>
      </c>
      <c r="R237" s="12" t="str">
        <f t="shared" si="18"/>
        <v>SB</v>
      </c>
      <c r="S237" s="13">
        <f t="shared" ca="1" si="19"/>
        <v>46309.658403472225</v>
      </c>
    </row>
    <row r="238" spans="1:19" ht="15.75" customHeight="1" x14ac:dyDescent="0.3">
      <c r="A238" s="9" t="s">
        <v>403</v>
      </c>
      <c r="B238" s="10">
        <v>45737</v>
      </c>
      <c r="C238" s="9" t="s">
        <v>68</v>
      </c>
      <c r="D238" s="9" t="s">
        <v>69</v>
      </c>
      <c r="E238" s="9" t="s">
        <v>81</v>
      </c>
      <c r="F238" s="9" t="s">
        <v>82</v>
      </c>
      <c r="G238" s="9" t="s">
        <v>39</v>
      </c>
      <c r="H238" s="9">
        <v>3</v>
      </c>
      <c r="I238" s="11">
        <v>899.99</v>
      </c>
      <c r="J238" s="9" t="s">
        <v>54</v>
      </c>
      <c r="K238" s="9" t="s">
        <v>60</v>
      </c>
      <c r="L238" s="9" t="s">
        <v>42</v>
      </c>
      <c r="M238" s="10">
        <v>44975</v>
      </c>
      <c r="N238" s="11">
        <v>2699.97</v>
      </c>
      <c r="O238" s="12" t="str">
        <f t="shared" si="15"/>
        <v>2025-03</v>
      </c>
      <c r="P238" s="12">
        <f t="shared" si="16"/>
        <v>2025</v>
      </c>
      <c r="Q238" s="12">
        <f t="shared" si="17"/>
        <v>2</v>
      </c>
      <c r="R238" s="12" t="str">
        <f t="shared" si="18"/>
        <v>DN</v>
      </c>
      <c r="S238" s="13">
        <f t="shared" ca="1" si="19"/>
        <v>46309.658403472225</v>
      </c>
    </row>
    <row r="239" spans="1:19" ht="15.75" customHeight="1" x14ac:dyDescent="0.3">
      <c r="A239" s="9" t="s">
        <v>404</v>
      </c>
      <c r="B239" s="10">
        <v>45739</v>
      </c>
      <c r="C239" s="9" t="s">
        <v>35</v>
      </c>
      <c r="D239" s="9" t="s">
        <v>36</v>
      </c>
      <c r="E239" s="9" t="s">
        <v>125</v>
      </c>
      <c r="F239" s="9" t="s">
        <v>126</v>
      </c>
      <c r="G239" s="9" t="s">
        <v>66</v>
      </c>
      <c r="H239" s="9">
        <v>3</v>
      </c>
      <c r="I239" s="11">
        <v>299.99</v>
      </c>
      <c r="J239" s="9" t="s">
        <v>46</v>
      </c>
      <c r="K239" s="9" t="s">
        <v>70</v>
      </c>
      <c r="L239" s="9" t="s">
        <v>47</v>
      </c>
      <c r="M239" s="10">
        <v>45234</v>
      </c>
      <c r="N239" s="11">
        <v>899.97</v>
      </c>
      <c r="O239" s="12" t="str">
        <f t="shared" si="15"/>
        <v>2025-03</v>
      </c>
      <c r="P239" s="12">
        <f t="shared" si="16"/>
        <v>2025</v>
      </c>
      <c r="Q239" s="12">
        <f t="shared" si="17"/>
        <v>1</v>
      </c>
      <c r="R239" s="12" t="str">
        <f t="shared" si="18"/>
        <v>PB</v>
      </c>
      <c r="S239" s="13">
        <f t="shared" ca="1" si="19"/>
        <v>46309.658403472225</v>
      </c>
    </row>
    <row r="240" spans="1:19" ht="15.75" customHeight="1" x14ac:dyDescent="0.3">
      <c r="A240" s="9" t="s">
        <v>405</v>
      </c>
      <c r="B240" s="10">
        <v>45740</v>
      </c>
      <c r="C240" s="9" t="s">
        <v>406</v>
      </c>
      <c r="D240" s="9" t="s">
        <v>407</v>
      </c>
      <c r="E240" s="9" t="s">
        <v>64</v>
      </c>
      <c r="F240" s="9" t="s">
        <v>65</v>
      </c>
      <c r="G240" s="9" t="s">
        <v>66</v>
      </c>
      <c r="H240" s="9">
        <v>4</v>
      </c>
      <c r="I240" s="11">
        <v>149.99</v>
      </c>
      <c r="J240" s="9" t="s">
        <v>54</v>
      </c>
      <c r="K240" s="9" t="s">
        <v>70</v>
      </c>
      <c r="L240" s="9" t="s">
        <v>56</v>
      </c>
      <c r="M240" s="10">
        <v>44560</v>
      </c>
      <c r="N240" s="11">
        <v>599.96</v>
      </c>
      <c r="O240" s="12" t="str">
        <f t="shared" si="15"/>
        <v>2025-03</v>
      </c>
      <c r="P240" s="12">
        <f t="shared" si="16"/>
        <v>2025</v>
      </c>
      <c r="Q240" s="12">
        <f t="shared" si="17"/>
        <v>3</v>
      </c>
      <c r="R240" s="12" t="str">
        <f t="shared" si="18"/>
        <v>JS</v>
      </c>
      <c r="S240" s="13">
        <f t="shared" ca="1" si="19"/>
        <v>46309.658403472225</v>
      </c>
    </row>
    <row r="241" spans="1:19" ht="15.75" customHeight="1" x14ac:dyDescent="0.3">
      <c r="A241" s="9" t="s">
        <v>408</v>
      </c>
      <c r="B241" s="10">
        <v>45743</v>
      </c>
      <c r="C241" s="9" t="s">
        <v>122</v>
      </c>
      <c r="D241" s="9" t="s">
        <v>123</v>
      </c>
      <c r="E241" s="9" t="s">
        <v>134</v>
      </c>
      <c r="F241" s="9" t="s">
        <v>135</v>
      </c>
      <c r="G241" s="9" t="s">
        <v>53</v>
      </c>
      <c r="H241" s="9">
        <v>4</v>
      </c>
      <c r="I241" s="11">
        <v>79.989999999999995</v>
      </c>
      <c r="J241" s="9" t="s">
        <v>46</v>
      </c>
      <c r="K241" s="9" t="s">
        <v>41</v>
      </c>
      <c r="L241" s="9" t="s">
        <v>42</v>
      </c>
      <c r="M241" s="10">
        <v>45288</v>
      </c>
      <c r="N241" s="11">
        <v>319.95999999999998</v>
      </c>
      <c r="O241" s="12" t="str">
        <f t="shared" si="15"/>
        <v>2025-03</v>
      </c>
      <c r="P241" s="12">
        <f t="shared" si="16"/>
        <v>2025</v>
      </c>
      <c r="Q241" s="12">
        <f t="shared" si="17"/>
        <v>1</v>
      </c>
      <c r="R241" s="12" t="str">
        <f t="shared" si="18"/>
        <v>CP</v>
      </c>
      <c r="S241" s="13">
        <f t="shared" ca="1" si="19"/>
        <v>46309.658403472225</v>
      </c>
    </row>
    <row r="242" spans="1:19" ht="15.75" customHeight="1" x14ac:dyDescent="0.3">
      <c r="A242" s="9" t="s">
        <v>409</v>
      </c>
      <c r="B242" s="10">
        <v>45745</v>
      </c>
      <c r="C242" s="9" t="s">
        <v>205</v>
      </c>
      <c r="D242" s="9" t="s">
        <v>206</v>
      </c>
      <c r="E242" s="9" t="s">
        <v>137</v>
      </c>
      <c r="F242" s="9" t="s">
        <v>138</v>
      </c>
      <c r="G242" s="9" t="s">
        <v>39</v>
      </c>
      <c r="H242" s="9">
        <v>5</v>
      </c>
      <c r="I242" s="11">
        <v>89.99</v>
      </c>
      <c r="J242" s="9" t="s">
        <v>54</v>
      </c>
      <c r="K242" s="9" t="s">
        <v>55</v>
      </c>
      <c r="L242" s="9" t="s">
        <v>42</v>
      </c>
      <c r="M242" s="10">
        <v>44704</v>
      </c>
      <c r="N242" s="11">
        <v>449.95</v>
      </c>
      <c r="O242" s="12" t="str">
        <f t="shared" si="15"/>
        <v>2025-03</v>
      </c>
      <c r="P242" s="12">
        <f t="shared" si="16"/>
        <v>2025</v>
      </c>
      <c r="Q242" s="12">
        <f t="shared" si="17"/>
        <v>2</v>
      </c>
      <c r="R242" s="12" t="str">
        <f t="shared" si="18"/>
        <v>MW</v>
      </c>
      <c r="S242" s="13">
        <f t="shared" ca="1" si="19"/>
        <v>46309.658403472225</v>
      </c>
    </row>
    <row r="243" spans="1:19" ht="15.75" customHeight="1" x14ac:dyDescent="0.3">
      <c r="A243" s="9" t="s">
        <v>410</v>
      </c>
      <c r="B243" s="10">
        <v>45746</v>
      </c>
      <c r="C243" s="9" t="s">
        <v>113</v>
      </c>
      <c r="D243" s="9" t="s">
        <v>114</v>
      </c>
      <c r="E243" s="9" t="s">
        <v>64</v>
      </c>
      <c r="F243" s="9" t="s">
        <v>65</v>
      </c>
      <c r="G243" s="9" t="s">
        <v>66</v>
      </c>
      <c r="H243" s="9">
        <v>3</v>
      </c>
      <c r="I243" s="11">
        <v>149.99</v>
      </c>
      <c r="J243" s="9" t="s">
        <v>54</v>
      </c>
      <c r="K243" s="9" t="s">
        <v>41</v>
      </c>
      <c r="L243" s="9" t="s">
        <v>56</v>
      </c>
      <c r="M243" s="10">
        <v>45171</v>
      </c>
      <c r="N243" s="11">
        <v>449.97</v>
      </c>
      <c r="O243" s="12" t="str">
        <f t="shared" si="15"/>
        <v>2025-03</v>
      </c>
      <c r="P243" s="12">
        <f t="shared" si="16"/>
        <v>2025</v>
      </c>
      <c r="Q243" s="12">
        <f t="shared" si="17"/>
        <v>1</v>
      </c>
      <c r="R243" s="12" t="str">
        <f t="shared" si="18"/>
        <v>VS</v>
      </c>
      <c r="S243" s="13">
        <f t="shared" ca="1" si="19"/>
        <v>46309.658403472225</v>
      </c>
    </row>
    <row r="244" spans="1:19" ht="15.75" customHeight="1" x14ac:dyDescent="0.3">
      <c r="A244" s="9" t="s">
        <v>411</v>
      </c>
      <c r="B244" s="10">
        <v>45746</v>
      </c>
      <c r="C244" s="9" t="s">
        <v>85</v>
      </c>
      <c r="D244" s="9" t="s">
        <v>86</v>
      </c>
      <c r="E244" s="9" t="s">
        <v>137</v>
      </c>
      <c r="F244" s="9" t="s">
        <v>138</v>
      </c>
      <c r="G244" s="9" t="s">
        <v>39</v>
      </c>
      <c r="H244" s="9">
        <v>2</v>
      </c>
      <c r="I244" s="11">
        <v>89.99</v>
      </c>
      <c r="J244" s="9" t="s">
        <v>77</v>
      </c>
      <c r="K244" s="9" t="s">
        <v>70</v>
      </c>
      <c r="L244" s="9" t="s">
        <v>47</v>
      </c>
      <c r="M244" s="10">
        <v>44522</v>
      </c>
      <c r="N244" s="11">
        <v>179.98</v>
      </c>
      <c r="O244" s="12" t="str">
        <f t="shared" si="15"/>
        <v>2025-03</v>
      </c>
      <c r="P244" s="12">
        <f t="shared" si="16"/>
        <v>2025</v>
      </c>
      <c r="Q244" s="12">
        <f t="shared" si="17"/>
        <v>3</v>
      </c>
      <c r="R244" s="12" t="str">
        <f t="shared" si="18"/>
        <v>KH</v>
      </c>
      <c r="S244" s="13">
        <f t="shared" ca="1" si="19"/>
        <v>46309.658403472225</v>
      </c>
    </row>
    <row r="245" spans="1:19" ht="15.75" customHeight="1" x14ac:dyDescent="0.3">
      <c r="A245" s="9" t="s">
        <v>412</v>
      </c>
      <c r="B245" s="10">
        <v>45748</v>
      </c>
      <c r="C245" s="9" t="s">
        <v>122</v>
      </c>
      <c r="D245" s="9" t="s">
        <v>123</v>
      </c>
      <c r="E245" s="9" t="s">
        <v>100</v>
      </c>
      <c r="F245" s="9" t="s">
        <v>101</v>
      </c>
      <c r="G245" s="9" t="s">
        <v>39</v>
      </c>
      <c r="H245" s="9">
        <v>2</v>
      </c>
      <c r="I245" s="11">
        <v>699.99</v>
      </c>
      <c r="J245" s="9" t="s">
        <v>54</v>
      </c>
      <c r="K245" s="9" t="s">
        <v>60</v>
      </c>
      <c r="L245" s="9" t="s">
        <v>56</v>
      </c>
      <c r="M245" s="10">
        <v>44618</v>
      </c>
      <c r="N245" s="11">
        <v>1399.98</v>
      </c>
      <c r="O245" s="12" t="str">
        <f t="shared" si="15"/>
        <v>2025-04</v>
      </c>
      <c r="P245" s="12">
        <f t="shared" si="16"/>
        <v>2025</v>
      </c>
      <c r="Q245" s="12">
        <f t="shared" si="17"/>
        <v>3</v>
      </c>
      <c r="R245" s="12" t="str">
        <f t="shared" si="18"/>
        <v>CP</v>
      </c>
      <c r="S245" s="13">
        <f t="shared" ca="1" si="19"/>
        <v>46309.658403472225</v>
      </c>
    </row>
    <row r="246" spans="1:19" ht="15.75" customHeight="1" x14ac:dyDescent="0.3">
      <c r="A246" s="9" t="s">
        <v>413</v>
      </c>
      <c r="B246" s="10">
        <v>45749</v>
      </c>
      <c r="C246" s="9" t="s">
        <v>143</v>
      </c>
      <c r="D246" s="9" t="s">
        <v>144</v>
      </c>
      <c r="E246" s="9" t="s">
        <v>81</v>
      </c>
      <c r="F246" s="9" t="s">
        <v>82</v>
      </c>
      <c r="G246" s="9" t="s">
        <v>39</v>
      </c>
      <c r="H246" s="9">
        <v>3</v>
      </c>
      <c r="I246" s="11">
        <v>899.99</v>
      </c>
      <c r="J246" s="9" t="s">
        <v>40</v>
      </c>
      <c r="K246" s="9" t="s">
        <v>41</v>
      </c>
      <c r="L246" s="9" t="s">
        <v>56</v>
      </c>
      <c r="M246" s="10">
        <v>44953</v>
      </c>
      <c r="N246" s="11">
        <v>2699.97</v>
      </c>
      <c r="O246" s="12" t="str">
        <f t="shared" si="15"/>
        <v>2025-04</v>
      </c>
      <c r="P246" s="12">
        <f t="shared" si="16"/>
        <v>2025</v>
      </c>
      <c r="Q246" s="12">
        <f t="shared" si="17"/>
        <v>2</v>
      </c>
      <c r="R246" s="12" t="str">
        <f t="shared" si="18"/>
        <v>EM</v>
      </c>
      <c r="S246" s="13">
        <f t="shared" ca="1" si="19"/>
        <v>46309.658403472225</v>
      </c>
    </row>
    <row r="247" spans="1:19" ht="15.75" customHeight="1" x14ac:dyDescent="0.3">
      <c r="A247" s="9" t="s">
        <v>414</v>
      </c>
      <c r="B247" s="10">
        <v>45755</v>
      </c>
      <c r="C247" s="9" t="s">
        <v>113</v>
      </c>
      <c r="D247" s="9" t="s">
        <v>114</v>
      </c>
      <c r="E247" s="9" t="s">
        <v>134</v>
      </c>
      <c r="F247" s="9" t="s">
        <v>135</v>
      </c>
      <c r="G247" s="9" t="s">
        <v>53</v>
      </c>
      <c r="H247" s="9">
        <v>3</v>
      </c>
      <c r="I247" s="11">
        <v>79.989999999999995</v>
      </c>
      <c r="J247" s="9" t="s">
        <v>46</v>
      </c>
      <c r="K247" s="9" t="s">
        <v>60</v>
      </c>
      <c r="L247" s="9" t="s">
        <v>42</v>
      </c>
      <c r="M247" s="10">
        <v>44511</v>
      </c>
      <c r="N247" s="11">
        <v>239.97</v>
      </c>
      <c r="O247" s="12" t="str">
        <f t="shared" si="15"/>
        <v>2025-04</v>
      </c>
      <c r="P247" s="12">
        <f t="shared" si="16"/>
        <v>2025</v>
      </c>
      <c r="Q247" s="12">
        <f t="shared" si="17"/>
        <v>3</v>
      </c>
      <c r="R247" s="12" t="str">
        <f t="shared" si="18"/>
        <v>VS</v>
      </c>
      <c r="S247" s="13">
        <f t="shared" ca="1" si="19"/>
        <v>46309.658403472225</v>
      </c>
    </row>
    <row r="248" spans="1:19" ht="15.75" customHeight="1" x14ac:dyDescent="0.3">
      <c r="A248" s="9" t="s">
        <v>415</v>
      </c>
      <c r="B248" s="10">
        <v>45756</v>
      </c>
      <c r="C248" s="9" t="s">
        <v>79</v>
      </c>
      <c r="D248" s="9" t="s">
        <v>80</v>
      </c>
      <c r="E248" s="9" t="s">
        <v>137</v>
      </c>
      <c r="F248" s="9" t="s">
        <v>138</v>
      </c>
      <c r="G248" s="9" t="s">
        <v>39</v>
      </c>
      <c r="H248" s="9">
        <v>1</v>
      </c>
      <c r="I248" s="11">
        <v>89.99</v>
      </c>
      <c r="J248" s="9" t="s">
        <v>77</v>
      </c>
      <c r="K248" s="9" t="s">
        <v>83</v>
      </c>
      <c r="L248" s="9" t="s">
        <v>42</v>
      </c>
      <c r="M248" s="10">
        <v>45346</v>
      </c>
      <c r="N248" s="11">
        <v>89.99</v>
      </c>
      <c r="O248" s="12" t="str">
        <f t="shared" si="15"/>
        <v>2025-04</v>
      </c>
      <c r="P248" s="12">
        <f t="shared" si="16"/>
        <v>2025</v>
      </c>
      <c r="Q248" s="12">
        <f t="shared" si="17"/>
        <v>1</v>
      </c>
      <c r="R248" s="12" t="str">
        <f t="shared" si="18"/>
        <v>RT</v>
      </c>
      <c r="S248" s="13">
        <f t="shared" ca="1" si="19"/>
        <v>46309.658403472225</v>
      </c>
    </row>
    <row r="249" spans="1:19" ht="15.75" customHeight="1" x14ac:dyDescent="0.3">
      <c r="A249" s="9" t="s">
        <v>416</v>
      </c>
      <c r="B249" s="10">
        <v>45758</v>
      </c>
      <c r="C249" s="9" t="s">
        <v>313</v>
      </c>
      <c r="D249" s="9" t="s">
        <v>314</v>
      </c>
      <c r="E249" s="9" t="s">
        <v>100</v>
      </c>
      <c r="F249" s="9" t="s">
        <v>101</v>
      </c>
      <c r="G249" s="9" t="s">
        <v>39</v>
      </c>
      <c r="H249" s="9">
        <v>3</v>
      </c>
      <c r="I249" s="11">
        <v>699.99</v>
      </c>
      <c r="J249" s="9" t="s">
        <v>54</v>
      </c>
      <c r="K249" s="9" t="s">
        <v>60</v>
      </c>
      <c r="L249" s="9" t="s">
        <v>42</v>
      </c>
      <c r="M249" s="10">
        <v>44909</v>
      </c>
      <c r="N249" s="11">
        <v>2099.9699999999998</v>
      </c>
      <c r="O249" s="12" t="str">
        <f t="shared" si="15"/>
        <v>2025-04</v>
      </c>
      <c r="P249" s="12">
        <f t="shared" si="16"/>
        <v>2025</v>
      </c>
      <c r="Q249" s="12">
        <f t="shared" si="17"/>
        <v>2</v>
      </c>
      <c r="R249" s="12" t="str">
        <f t="shared" si="18"/>
        <v>DW</v>
      </c>
      <c r="S249" s="13">
        <f t="shared" ca="1" si="19"/>
        <v>46309.658403472225</v>
      </c>
    </row>
    <row r="250" spans="1:19" ht="15.75" customHeight="1" x14ac:dyDescent="0.3">
      <c r="A250" s="9" t="s">
        <v>417</v>
      </c>
      <c r="B250" s="10">
        <v>45758</v>
      </c>
      <c r="C250" s="9" t="s">
        <v>246</v>
      </c>
      <c r="D250" s="9" t="s">
        <v>247</v>
      </c>
      <c r="E250" s="9" t="s">
        <v>137</v>
      </c>
      <c r="F250" s="9" t="s">
        <v>138</v>
      </c>
      <c r="G250" s="9" t="s">
        <v>39</v>
      </c>
      <c r="H250" s="9">
        <v>2</v>
      </c>
      <c r="I250" s="11">
        <v>89.99</v>
      </c>
      <c r="J250" s="9" t="s">
        <v>77</v>
      </c>
      <c r="K250" s="9" t="s">
        <v>83</v>
      </c>
      <c r="L250" s="9" t="s">
        <v>42</v>
      </c>
      <c r="M250" s="10">
        <v>45088</v>
      </c>
      <c r="N250" s="11">
        <v>179.98</v>
      </c>
      <c r="O250" s="12" t="str">
        <f t="shared" si="15"/>
        <v>2025-04</v>
      </c>
      <c r="P250" s="12">
        <f t="shared" si="16"/>
        <v>2025</v>
      </c>
      <c r="Q250" s="12">
        <f t="shared" si="17"/>
        <v>1</v>
      </c>
      <c r="R250" s="12" t="str">
        <f t="shared" si="18"/>
        <v>LR</v>
      </c>
      <c r="S250" s="13">
        <f t="shared" ca="1" si="19"/>
        <v>46309.658403472225</v>
      </c>
    </row>
    <row r="251" spans="1:19" ht="15.75" customHeight="1" x14ac:dyDescent="0.3">
      <c r="A251" s="9" t="s">
        <v>418</v>
      </c>
      <c r="B251" s="10">
        <v>45758</v>
      </c>
      <c r="C251" s="9" t="s">
        <v>158</v>
      </c>
      <c r="D251" s="9" t="s">
        <v>159</v>
      </c>
      <c r="E251" s="9" t="s">
        <v>137</v>
      </c>
      <c r="F251" s="9" t="s">
        <v>138</v>
      </c>
      <c r="G251" s="9" t="s">
        <v>39</v>
      </c>
      <c r="H251" s="9">
        <v>3</v>
      </c>
      <c r="I251" s="11">
        <v>89.99</v>
      </c>
      <c r="J251" s="9" t="s">
        <v>77</v>
      </c>
      <c r="K251" s="9" t="s">
        <v>60</v>
      </c>
      <c r="L251" s="9" t="s">
        <v>47</v>
      </c>
      <c r="M251" s="10">
        <v>44878</v>
      </c>
      <c r="N251" s="11">
        <v>269.97000000000003</v>
      </c>
      <c r="O251" s="12" t="str">
        <f t="shared" si="15"/>
        <v>2025-04</v>
      </c>
      <c r="P251" s="12">
        <f t="shared" si="16"/>
        <v>2025</v>
      </c>
      <c r="Q251" s="12">
        <f t="shared" si="17"/>
        <v>2</v>
      </c>
      <c r="R251" s="12" t="str">
        <f t="shared" si="18"/>
        <v>ST</v>
      </c>
      <c r="S251" s="13">
        <f t="shared" ca="1" si="19"/>
        <v>46309.658403472225</v>
      </c>
    </row>
    <row r="252" spans="1:19" ht="15.75" customHeight="1" x14ac:dyDescent="0.3"/>
    <row r="253" spans="1:19" ht="15.75" customHeight="1" x14ac:dyDescent="0.3"/>
    <row r="254" spans="1:19" ht="15.75" customHeight="1" x14ac:dyDescent="0.3"/>
    <row r="255" spans="1:19" ht="15.75" customHeight="1" x14ac:dyDescent="0.3"/>
    <row r="256" spans="1:19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autoFilter ref="A1:S251" xr:uid="{00000000-0009-0000-0000-000002000000}"/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65"/>
  <sheetViews>
    <sheetView workbookViewId="0">
      <pane ySplit="2" topLeftCell="A3" activePane="bottomLeft" state="frozen"/>
      <selection pane="bottomLeft" activeCell="B5" sqref="B5"/>
    </sheetView>
  </sheetViews>
  <sheetFormatPr defaultRowHeight="14.4" x14ac:dyDescent="0.3"/>
  <cols>
    <col min="1" max="1" width="24" customWidth="1"/>
    <col min="2" max="2" width="18" customWidth="1"/>
    <col min="3" max="3" width="16" customWidth="1"/>
    <col min="4" max="4" width="20" customWidth="1"/>
    <col min="5" max="5" width="18" customWidth="1"/>
    <col min="6" max="6" width="24" customWidth="1"/>
    <col min="7" max="7" width="16" customWidth="1"/>
    <col min="8" max="8" width="18" customWidth="1"/>
    <col min="9" max="9" width="3" customWidth="1"/>
    <col min="10" max="10" width="14" customWidth="1"/>
    <col min="11" max="11" width="18" customWidth="1"/>
    <col min="12" max="12" width="16" customWidth="1"/>
  </cols>
  <sheetData>
    <row r="1" spans="1:12" ht="31.95" customHeight="1" x14ac:dyDescent="0.3">
      <c r="A1" s="45" t="s">
        <v>419</v>
      </c>
      <c r="B1" s="42"/>
      <c r="C1" s="42"/>
      <c r="D1" s="42"/>
      <c r="E1" s="42"/>
      <c r="F1" s="42"/>
      <c r="G1" s="42"/>
      <c r="H1" s="42"/>
    </row>
    <row r="3" spans="1:12" x14ac:dyDescent="0.3">
      <c r="A3" s="14" t="s">
        <v>420</v>
      </c>
      <c r="B3" s="14" t="s">
        <v>421</v>
      </c>
      <c r="D3" s="14" t="s">
        <v>22</v>
      </c>
      <c r="E3" s="14" t="s">
        <v>422</v>
      </c>
      <c r="G3" s="14" t="s">
        <v>2</v>
      </c>
      <c r="H3" s="14" t="s">
        <v>422</v>
      </c>
      <c r="J3" s="14" t="s">
        <v>29</v>
      </c>
      <c r="K3" s="14" t="s">
        <v>422</v>
      </c>
      <c r="L3" s="14" t="s">
        <v>423</v>
      </c>
    </row>
    <row r="4" spans="1:12" x14ac:dyDescent="0.3">
      <c r="A4" s="15" t="s">
        <v>424</v>
      </c>
      <c r="B4" s="16">
        <f>SUM('Raw Data'!N2:N251)</f>
        <v>229192.47000000032</v>
      </c>
      <c r="C4" s="17"/>
      <c r="D4" s="12" t="s">
        <v>53</v>
      </c>
      <c r="E4" s="18">
        <f>SUMIF('Raw Data'!G$2:G$251,D4,'Raw Data'!N$2:N$251)</f>
        <v>8338.7399999999961</v>
      </c>
      <c r="G4" s="12" t="s">
        <v>41</v>
      </c>
      <c r="H4" s="18">
        <f>SUMIF('Raw Data'!K$2:K$251,G4,'Raw Data'!N$2:N$251)</f>
        <v>41288.340000000018</v>
      </c>
      <c r="J4" s="12" t="s">
        <v>425</v>
      </c>
      <c r="K4" s="18">
        <f>SUMIF('Raw Data'!O$2:O$251,J4,'Raw Data'!N$2:N$251)</f>
        <v>20919.330000000002</v>
      </c>
      <c r="L4" s="12">
        <f>COUNTIF('Raw Data'!O$2:O$251,J4)</f>
        <v>21</v>
      </c>
    </row>
    <row r="5" spans="1:12" x14ac:dyDescent="0.3">
      <c r="A5" s="15" t="s">
        <v>426</v>
      </c>
      <c r="B5" s="19">
        <f>COUNTA('Raw Data'!A2:A251)</f>
        <v>250</v>
      </c>
      <c r="C5" s="17"/>
      <c r="D5" s="12" t="s">
        <v>39</v>
      </c>
      <c r="E5" s="18">
        <f>SUMIF('Raw Data'!G$2:G$251,D5,'Raw Data'!N$2:N$251)</f>
        <v>171756.05000000013</v>
      </c>
      <c r="G5" s="12" t="s">
        <v>83</v>
      </c>
      <c r="H5" s="18">
        <f>SUMIF('Raw Data'!K$2:K$251,G5,'Raw Data'!N$2:N$251)</f>
        <v>59288.389999999992</v>
      </c>
      <c r="J5" s="12" t="s">
        <v>427</v>
      </c>
      <c r="K5" s="18">
        <f>SUMIF('Raw Data'!O$2:O$251,J5,'Raw Data'!N$2:N$251)</f>
        <v>17039.349999999999</v>
      </c>
      <c r="L5" s="12">
        <f>COUNTIF('Raw Data'!O$2:O$251,J5)</f>
        <v>19</v>
      </c>
    </row>
    <row r="6" spans="1:12" x14ac:dyDescent="0.3">
      <c r="A6" s="15" t="s">
        <v>428</v>
      </c>
      <c r="B6" s="19">
        <f>SUM('Raw Data'!H2:H251)</f>
        <v>753</v>
      </c>
      <c r="C6" s="17"/>
      <c r="D6" s="12" t="s">
        <v>66</v>
      </c>
      <c r="E6" s="18">
        <f>SUMIF('Raw Data'!G$2:G$251,D6,'Raw Data'!N$2:N$251)</f>
        <v>49097.680000000015</v>
      </c>
      <c r="G6" s="12" t="s">
        <v>60</v>
      </c>
      <c r="H6" s="18">
        <f>SUMIF('Raw Data'!K$2:K$251,G6,'Raw Data'!N$2:N$251)</f>
        <v>50808.310000000012</v>
      </c>
      <c r="J6" s="12" t="s">
        <v>429</v>
      </c>
      <c r="K6" s="18">
        <f>SUMIF('Raw Data'!O$2:O$251,J6,'Raw Data'!N$2:N$251)</f>
        <v>19299.45</v>
      </c>
      <c r="L6" s="12">
        <f>COUNTIF('Raw Data'!O$2:O$251,J6)</f>
        <v>19</v>
      </c>
    </row>
    <row r="7" spans="1:12" x14ac:dyDescent="0.3">
      <c r="A7" s="15" t="s">
        <v>430</v>
      </c>
      <c r="B7" s="16">
        <f>AVERAGE('Raw Data'!N2:N251)</f>
        <v>916.76988000000131</v>
      </c>
      <c r="C7" s="17"/>
      <c r="E7" s="17"/>
      <c r="G7" s="12" t="s">
        <v>55</v>
      </c>
      <c r="H7" s="18">
        <f>SUMIF('Raw Data'!K$2:K$251,G7,'Raw Data'!N$2:N$251)</f>
        <v>36398.750000000007</v>
      </c>
      <c r="J7" s="12" t="s">
        <v>431</v>
      </c>
      <c r="K7" s="18">
        <f>SUMIF('Raw Data'!O$2:O$251,J7,'Raw Data'!N$2:N$251)</f>
        <v>18479.399999999994</v>
      </c>
      <c r="L7" s="12">
        <f>COUNTIF('Raw Data'!O$2:O$251,J7)</f>
        <v>24</v>
      </c>
    </row>
    <row r="8" spans="1:12" x14ac:dyDescent="0.3">
      <c r="A8" s="15" t="s">
        <v>432</v>
      </c>
      <c r="B8" s="20">
        <f>SUMPRODUCT(('Raw Data'!C2:C251&lt;&gt;"")/COUNTIF('Raw Data'!C2:C251,'Raw Data'!C2:C251&amp;""))</f>
        <v>50.000000000000028</v>
      </c>
      <c r="C8" s="17"/>
      <c r="E8" s="17"/>
      <c r="G8" s="12" t="s">
        <v>70</v>
      </c>
      <c r="H8" s="18">
        <f>SUMIF('Raw Data'!K$2:K$251,G8,'Raw Data'!N$2:N$251)</f>
        <v>41408.680000000015</v>
      </c>
      <c r="J8" s="12" t="s">
        <v>433</v>
      </c>
      <c r="K8" s="18">
        <f>SUMIF('Raw Data'!O$2:O$251,J8,'Raw Data'!N$2:N$251)</f>
        <v>15759.429999999997</v>
      </c>
      <c r="L8" s="12">
        <f>COUNTIF('Raw Data'!O$2:O$251,J8)</f>
        <v>18</v>
      </c>
    </row>
    <row r="9" spans="1:12" x14ac:dyDescent="0.3">
      <c r="A9" s="15" t="s">
        <v>434</v>
      </c>
      <c r="B9" s="20">
        <f>MAX('Raw Data'!B2:B251)</f>
        <v>45758</v>
      </c>
      <c r="C9" s="17"/>
      <c r="E9" s="17"/>
      <c r="H9" s="17"/>
      <c r="J9" s="12" t="s">
        <v>435</v>
      </c>
      <c r="K9" s="18">
        <f>SUMIF('Raw Data'!O$2:O$251,J9,'Raw Data'!N$2:N$251)</f>
        <v>12989.509999999997</v>
      </c>
      <c r="L9" s="12">
        <f>COUNTIF('Raw Data'!O$2:O$251,J9)</f>
        <v>19</v>
      </c>
    </row>
    <row r="10" spans="1:12" x14ac:dyDescent="0.3">
      <c r="A10" s="15" t="s">
        <v>436</v>
      </c>
      <c r="B10" s="20">
        <f ca="1">TODAY()</f>
        <v>46309</v>
      </c>
      <c r="C10" s="17"/>
      <c r="E10" s="17"/>
      <c r="H10" s="17"/>
      <c r="J10" s="12" t="s">
        <v>437</v>
      </c>
      <c r="K10" s="18">
        <f>SUMIF('Raw Data'!O$2:O$251,J10,'Raw Data'!N$2:N$251)</f>
        <v>20609.52</v>
      </c>
      <c r="L10" s="12">
        <f>COUNTIF('Raw Data'!O$2:O$251,J10)</f>
        <v>16</v>
      </c>
    </row>
    <row r="11" spans="1:12" x14ac:dyDescent="0.3">
      <c r="A11" s="15" t="s">
        <v>438</v>
      </c>
      <c r="B11" s="21">
        <f ca="1">NOW()</f>
        <v>46309.658403472225</v>
      </c>
      <c r="C11" s="17"/>
      <c r="E11" s="17"/>
      <c r="H11" s="17"/>
      <c r="J11" s="12" t="s">
        <v>439</v>
      </c>
      <c r="K11" s="18">
        <f>SUMIF('Raw Data'!O$2:O$251,J11,'Raw Data'!N$2:N$251)</f>
        <v>12309.439999999999</v>
      </c>
      <c r="L11" s="12">
        <f>COUNTIF('Raw Data'!O$2:O$251,J11)</f>
        <v>17</v>
      </c>
    </row>
    <row r="12" spans="1:12" x14ac:dyDescent="0.3">
      <c r="C12" s="17"/>
      <c r="E12" s="17"/>
      <c r="H12" s="17"/>
      <c r="J12" s="12" t="s">
        <v>440</v>
      </c>
      <c r="K12" s="18">
        <f>SUMIF('Raw Data'!O$2:O$251,J12,'Raw Data'!N$2:N$251)</f>
        <v>23039.3</v>
      </c>
      <c r="L12" s="12">
        <f>COUNTIF('Raw Data'!O$2:O$251,J12)</f>
        <v>25</v>
      </c>
    </row>
    <row r="13" spans="1:12" x14ac:dyDescent="0.3">
      <c r="C13" s="17"/>
      <c r="E13" s="17"/>
      <c r="H13" s="17"/>
      <c r="J13" s="12" t="s">
        <v>441</v>
      </c>
      <c r="K13" s="18">
        <f>SUMIF('Raw Data'!O$2:O$251,J13,'Raw Data'!N$2:N$251)</f>
        <v>25799.15</v>
      </c>
      <c r="L13" s="12">
        <f>COUNTIF('Raw Data'!O$2:O$251,J13)</f>
        <v>26</v>
      </c>
    </row>
    <row r="14" spans="1:12" x14ac:dyDescent="0.3">
      <c r="C14" s="17"/>
      <c r="E14" s="17"/>
      <c r="H14" s="17"/>
      <c r="J14" s="12" t="s">
        <v>442</v>
      </c>
      <c r="K14" s="18">
        <f>SUMIF('Raw Data'!O$2:O$251,J14,'Raw Data'!N$2:N$251)</f>
        <v>16069.379999999997</v>
      </c>
      <c r="L14" s="12">
        <f>COUNTIF('Raw Data'!O$2:O$251,J14)</f>
        <v>20</v>
      </c>
    </row>
    <row r="15" spans="1:12" x14ac:dyDescent="0.3">
      <c r="A15" s="14" t="s">
        <v>443</v>
      </c>
      <c r="B15" s="14" t="s">
        <v>428</v>
      </c>
      <c r="C15" s="22" t="s">
        <v>422</v>
      </c>
      <c r="D15" s="14" t="s">
        <v>444</v>
      </c>
      <c r="E15" s="17"/>
      <c r="F15" s="14" t="s">
        <v>445</v>
      </c>
      <c r="G15" s="14" t="s">
        <v>423</v>
      </c>
      <c r="H15" s="22" t="s">
        <v>422</v>
      </c>
      <c r="J15" s="12" t="s">
        <v>446</v>
      </c>
      <c r="K15" s="18">
        <f>SUMIF('Raw Data'!O$2:O$251,J15,'Raw Data'!N$2:N$251)</f>
        <v>19899.379999999997</v>
      </c>
      <c r="L15" s="12">
        <f>COUNTIF('Raw Data'!O$2:O$251,J15)</f>
        <v>19</v>
      </c>
    </row>
    <row r="16" spans="1:12" x14ac:dyDescent="0.3">
      <c r="A16" s="12" t="s">
        <v>52</v>
      </c>
      <c r="B16" s="12">
        <f>SUMIF('Raw Data'!F$2:F$251,A16,'Raw Data'!H$2:H$251)</f>
        <v>87</v>
      </c>
      <c r="C16" s="18">
        <f>SUMIF('Raw Data'!F$2:F$251,A16,'Raw Data'!N$2:N$251)</f>
        <v>5219.1299999999974</v>
      </c>
      <c r="D16" s="12">
        <f>COUNTIF('Raw Data'!F$2:F$251,A16)</f>
        <v>29</v>
      </c>
      <c r="E16" s="17"/>
      <c r="F16" s="12" t="s">
        <v>107</v>
      </c>
      <c r="G16" s="12">
        <f>COUNTIF('Raw Data'!D$2:D$251,F16)</f>
        <v>12</v>
      </c>
      <c r="H16" s="18">
        <f>SUMIF('Raw Data'!D$2:D$251,F16,'Raw Data'!N$2:N$251)</f>
        <v>15659.65</v>
      </c>
      <c r="J16" s="12" t="s">
        <v>447</v>
      </c>
      <c r="K16" s="18">
        <f>SUMIF('Raw Data'!O$2:O$251,J16,'Raw Data'!N$2:N$251)</f>
        <v>6979.829999999999</v>
      </c>
      <c r="L16" s="12">
        <f>COUNTIF('Raw Data'!O$2:O$251,J16)</f>
        <v>7</v>
      </c>
    </row>
    <row r="17" spans="1:11" x14ac:dyDescent="0.3">
      <c r="A17" s="12" t="s">
        <v>65</v>
      </c>
      <c r="B17" s="12">
        <f>SUMIF('Raw Data'!F$2:F$251,A17,'Raw Data'!H$2:H$251)</f>
        <v>102</v>
      </c>
      <c r="C17" s="18">
        <f>SUMIF('Raw Data'!F$2:F$251,A17,'Raw Data'!N$2:N$251)</f>
        <v>15298.979999999994</v>
      </c>
      <c r="D17" s="12">
        <f>COUNTIF('Raw Data'!F$2:F$251,A17)</f>
        <v>35</v>
      </c>
      <c r="E17" s="17"/>
      <c r="F17" s="12" t="s">
        <v>144</v>
      </c>
      <c r="G17" s="12">
        <f>COUNTIF('Raw Data'!D$2:D$251,F17)</f>
        <v>6</v>
      </c>
      <c r="H17" s="18">
        <f>SUMIF('Raw Data'!D$2:D$251,F17,'Raw Data'!N$2:N$251)</f>
        <v>11919.769999999999</v>
      </c>
      <c r="K17" s="17"/>
    </row>
    <row r="18" spans="1:11" x14ac:dyDescent="0.3">
      <c r="A18" s="12" t="s">
        <v>135</v>
      </c>
      <c r="B18" s="12">
        <f>SUMIF('Raw Data'!F$2:F$251,A18,'Raw Data'!H$2:H$251)</f>
        <v>39</v>
      </c>
      <c r="C18" s="18">
        <f>SUMIF('Raw Data'!F$2:F$251,A18,'Raw Data'!N$2:N$251)</f>
        <v>3119.6099999999992</v>
      </c>
      <c r="D18" s="12">
        <f>COUNTIF('Raw Data'!F$2:F$251,A18)</f>
        <v>14</v>
      </c>
      <c r="E18" s="17"/>
      <c r="F18" s="12" t="s">
        <v>117</v>
      </c>
      <c r="G18" s="12">
        <f>COUNTIF('Raw Data'!D$2:D$251,F18)</f>
        <v>5</v>
      </c>
      <c r="H18" s="18">
        <f>SUMIF('Raw Data'!D$2:D$251,F18,'Raw Data'!N$2:N$251)</f>
        <v>10649.8</v>
      </c>
      <c r="K18" s="17"/>
    </row>
    <row r="19" spans="1:11" x14ac:dyDescent="0.3">
      <c r="A19" s="12" t="s">
        <v>126</v>
      </c>
      <c r="B19" s="12">
        <f>SUMIF('Raw Data'!F$2:F$251,A19,'Raw Data'!H$2:H$251)</f>
        <v>78</v>
      </c>
      <c r="C19" s="18">
        <f>SUMIF('Raw Data'!F$2:F$251,A19,'Raw Data'!N$2:N$251)</f>
        <v>23399.22</v>
      </c>
      <c r="D19" s="12">
        <f>COUNTIF('Raw Data'!F$2:F$251,A19)</f>
        <v>26</v>
      </c>
      <c r="E19" s="17"/>
      <c r="F19" s="12" t="s">
        <v>120</v>
      </c>
      <c r="G19" s="12">
        <f>COUNTIF('Raw Data'!D$2:D$251,F19)</f>
        <v>8</v>
      </c>
      <c r="H19" s="18">
        <f>SUMIF('Raw Data'!D$2:D$251,F19,'Raw Data'!N$2:N$251)</f>
        <v>9799.73</v>
      </c>
      <c r="K19" s="17"/>
    </row>
    <row r="20" spans="1:11" x14ac:dyDescent="0.3">
      <c r="A20" s="12" t="s">
        <v>73</v>
      </c>
      <c r="B20" s="12">
        <f>SUMIF('Raw Data'!F$2:F$251,A20,'Raw Data'!H$2:H$251)</f>
        <v>47</v>
      </c>
      <c r="C20" s="18">
        <f>SUMIF('Raw Data'!F$2:F$251,A20,'Raw Data'!N$2:N$251)</f>
        <v>7049.5299999999988</v>
      </c>
      <c r="D20" s="12">
        <f>COUNTIF('Raw Data'!F$2:F$251,A20)</f>
        <v>16</v>
      </c>
      <c r="E20" s="17"/>
      <c r="F20" s="12" t="s">
        <v>36</v>
      </c>
      <c r="G20" s="12">
        <f>COUNTIF('Raw Data'!D$2:D$251,F20)</f>
        <v>8</v>
      </c>
      <c r="H20" s="18">
        <f>SUMIF('Raw Data'!D$2:D$251,F20,'Raw Data'!N$2:N$251)</f>
        <v>8309.739999999998</v>
      </c>
      <c r="K20" s="17"/>
    </row>
    <row r="21" spans="1:11" x14ac:dyDescent="0.3">
      <c r="A21" s="12" t="s">
        <v>138</v>
      </c>
      <c r="B21" s="12">
        <f>SUMIF('Raw Data'!F$2:F$251,A21,'Raw Data'!H$2:H$251)</f>
        <v>89</v>
      </c>
      <c r="C21" s="18">
        <f>SUMIF('Raw Data'!F$2:F$251,A21,'Raw Data'!N$2:N$251)</f>
        <v>8009.1099999999969</v>
      </c>
      <c r="D21" s="12">
        <f>COUNTIF('Raw Data'!F$2:F$251,A21)</f>
        <v>34</v>
      </c>
      <c r="E21" s="17"/>
      <c r="F21" s="12" t="s">
        <v>69</v>
      </c>
      <c r="G21" s="12">
        <f>COUNTIF('Raw Data'!D$2:D$251,F21)</f>
        <v>6</v>
      </c>
      <c r="H21" s="18">
        <f>SUMIF('Raw Data'!D$2:D$251,F21,'Raw Data'!N$2:N$251)</f>
        <v>8269.7900000000009</v>
      </c>
      <c r="K21" s="17"/>
    </row>
    <row r="22" spans="1:11" x14ac:dyDescent="0.3">
      <c r="A22" s="12" t="s">
        <v>82</v>
      </c>
      <c r="B22" s="12">
        <f>SUMIF('Raw Data'!F$2:F$251,A22,'Raw Data'!H$2:H$251)</f>
        <v>75</v>
      </c>
      <c r="C22" s="18">
        <f>SUMIF('Raw Data'!F$2:F$251,A22,'Raw Data'!N$2:N$251)</f>
        <v>67499.25</v>
      </c>
      <c r="D22" s="12">
        <f>COUNTIF('Raw Data'!F$2:F$251,A22)</f>
        <v>24</v>
      </c>
      <c r="E22" s="17"/>
      <c r="F22" s="12" t="s">
        <v>86</v>
      </c>
      <c r="G22" s="12">
        <f>COUNTIF('Raw Data'!D$2:D$251,F22)</f>
        <v>8</v>
      </c>
      <c r="H22" s="18">
        <f>SUMIF('Raw Data'!D$2:D$251,F22,'Raw Data'!N$2:N$251)</f>
        <v>8009.7699999999995</v>
      </c>
      <c r="K22" s="17"/>
    </row>
    <row r="23" spans="1:11" x14ac:dyDescent="0.3">
      <c r="A23" s="12" t="s">
        <v>38</v>
      </c>
      <c r="B23" s="12">
        <f>SUMIF('Raw Data'!F$2:F$251,A23,'Raw Data'!H$2:H$251)</f>
        <v>88</v>
      </c>
      <c r="C23" s="18">
        <f>SUMIF('Raw Data'!F$2:F$251,A23,'Raw Data'!N$2:N$251)</f>
        <v>21999.119999999999</v>
      </c>
      <c r="D23" s="12">
        <f>COUNTIF('Raw Data'!F$2:F$251,A23)</f>
        <v>26</v>
      </c>
      <c r="E23" s="17"/>
      <c r="F23" s="12" t="s">
        <v>168</v>
      </c>
      <c r="G23" s="12">
        <f>COUNTIF('Raw Data'!D$2:D$251,F23)</f>
        <v>7</v>
      </c>
      <c r="H23" s="18">
        <f>SUMIF('Raw Data'!D$2:D$251,F23,'Raw Data'!N$2:N$251)</f>
        <v>7309.7999999999993</v>
      </c>
      <c r="K23" s="17"/>
    </row>
    <row r="24" spans="1:11" x14ac:dyDescent="0.3">
      <c r="A24" s="12" t="s">
        <v>147</v>
      </c>
      <c r="B24" s="12">
        <f>SUMIF('Raw Data'!F$2:F$251,A24,'Raw Data'!H$2:H$251)</f>
        <v>52</v>
      </c>
      <c r="C24" s="18">
        <f>SUMIF('Raw Data'!F$2:F$251,A24,'Raw Data'!N$2:N$251)</f>
        <v>10399.479999999998</v>
      </c>
      <c r="D24" s="12">
        <f>COUNTIF('Raw Data'!F$2:F$251,A24)</f>
        <v>15</v>
      </c>
      <c r="E24" s="17"/>
      <c r="F24" s="12" t="s">
        <v>247</v>
      </c>
      <c r="G24" s="12">
        <f>COUNTIF('Raw Data'!D$2:D$251,F24)</f>
        <v>8</v>
      </c>
      <c r="H24" s="18">
        <f>SUMIF('Raw Data'!D$2:D$251,F24,'Raw Data'!N$2:N$251)</f>
        <v>6989.7699999999986</v>
      </c>
      <c r="K24" s="17"/>
    </row>
    <row r="25" spans="1:11" x14ac:dyDescent="0.3">
      <c r="A25" s="12" t="s">
        <v>101</v>
      </c>
      <c r="B25" s="12">
        <f>SUMIF('Raw Data'!F$2:F$251,A25,'Raw Data'!H$2:H$251)</f>
        <v>96</v>
      </c>
      <c r="C25" s="18">
        <f>SUMIF('Raw Data'!F$2:F$251,A25,'Raw Data'!N$2:N$251)</f>
        <v>67199.039999999994</v>
      </c>
      <c r="D25" s="12">
        <f>COUNTIF('Raw Data'!F$2:F$251,A25)</f>
        <v>31</v>
      </c>
      <c r="E25" s="17"/>
      <c r="F25" s="12" t="s">
        <v>45</v>
      </c>
      <c r="G25" s="12">
        <f>COUNTIF('Raw Data'!D$2:D$251,F25)</f>
        <v>5</v>
      </c>
      <c r="H25" s="18">
        <f>SUMIF('Raw Data'!D$2:D$251,F25,'Raw Data'!N$2:N$251)</f>
        <v>6949.84</v>
      </c>
      <c r="K25" s="17"/>
    </row>
    <row r="26" spans="1:11" x14ac:dyDescent="0.3">
      <c r="C26" s="17"/>
      <c r="E26" s="17"/>
      <c r="F26" s="12" t="s">
        <v>141</v>
      </c>
      <c r="G26" s="12">
        <f>COUNTIF('Raw Data'!D$2:D$251,F26)</f>
        <v>7</v>
      </c>
      <c r="H26" s="18">
        <f>SUMIF('Raw Data'!D$2:D$251,F26,'Raw Data'!N$2:N$251)</f>
        <v>6459.79</v>
      </c>
      <c r="K26" s="17"/>
    </row>
    <row r="27" spans="1:11" x14ac:dyDescent="0.3">
      <c r="C27" s="17"/>
      <c r="E27" s="17"/>
      <c r="F27" s="12" t="s">
        <v>217</v>
      </c>
      <c r="G27" s="12">
        <f>COUNTIF('Raw Data'!D$2:D$251,F27)</f>
        <v>4</v>
      </c>
      <c r="H27" s="18">
        <f>SUMIF('Raw Data'!D$2:D$251,F27,'Raw Data'!N$2:N$251)</f>
        <v>6379.87</v>
      </c>
      <c r="K27" s="17"/>
    </row>
    <row r="28" spans="1:11" x14ac:dyDescent="0.3">
      <c r="C28" s="17"/>
      <c r="E28" s="17"/>
      <c r="F28" s="12" t="s">
        <v>255</v>
      </c>
      <c r="G28" s="12">
        <f>COUNTIF('Raw Data'!D$2:D$251,F28)</f>
        <v>5</v>
      </c>
      <c r="H28" s="18">
        <f>SUMIF('Raw Data'!D$2:D$251,F28,'Raw Data'!N$2:N$251)</f>
        <v>6349.83</v>
      </c>
      <c r="K28" s="17"/>
    </row>
    <row r="29" spans="1:11" x14ac:dyDescent="0.3">
      <c r="C29" s="17"/>
      <c r="E29" s="17"/>
      <c r="F29" s="12" t="s">
        <v>63</v>
      </c>
      <c r="G29" s="12">
        <f>COUNTIF('Raw Data'!D$2:D$251,F29)</f>
        <v>9</v>
      </c>
      <c r="H29" s="18">
        <f>SUMIF('Raw Data'!D$2:D$251,F29,'Raw Data'!N$2:N$251)</f>
        <v>6169.7400000000007</v>
      </c>
      <c r="K29" s="17"/>
    </row>
    <row r="30" spans="1:11" x14ac:dyDescent="0.3">
      <c r="C30" s="17"/>
      <c r="E30" s="17"/>
      <c r="F30" s="12" t="s">
        <v>93</v>
      </c>
      <c r="G30" s="12">
        <f>COUNTIF('Raw Data'!D$2:D$251,F30)</f>
        <v>5</v>
      </c>
      <c r="H30" s="18">
        <f>SUMIF('Raw Data'!D$2:D$251,F30,'Raw Data'!N$2:N$251)</f>
        <v>5949.85</v>
      </c>
      <c r="K30" s="17"/>
    </row>
    <row r="31" spans="1:11" x14ac:dyDescent="0.3">
      <c r="C31" s="17"/>
      <c r="E31" s="17"/>
      <c r="F31" s="12" t="s">
        <v>179</v>
      </c>
      <c r="G31" s="12">
        <f>COUNTIF('Raw Data'!D$2:D$251,F31)</f>
        <v>5</v>
      </c>
      <c r="H31" s="18">
        <f>SUMIF('Raw Data'!D$2:D$251,F31,'Raw Data'!N$2:N$251)</f>
        <v>5649.84</v>
      </c>
      <c r="K31" s="17"/>
    </row>
    <row r="32" spans="1:11" x14ac:dyDescent="0.3">
      <c r="C32" s="17"/>
      <c r="E32" s="17"/>
      <c r="F32" s="12" t="s">
        <v>171</v>
      </c>
      <c r="G32" s="12">
        <f>COUNTIF('Raw Data'!D$2:D$251,F32)</f>
        <v>6</v>
      </c>
      <c r="H32" s="18">
        <f>SUMIF('Raw Data'!D$2:D$251,F32,'Raw Data'!N$2:N$251)</f>
        <v>5619.869999999999</v>
      </c>
      <c r="K32" s="17"/>
    </row>
    <row r="33" spans="3:11" x14ac:dyDescent="0.3">
      <c r="C33" s="17"/>
      <c r="E33" s="17"/>
      <c r="F33" s="12" t="s">
        <v>165</v>
      </c>
      <c r="G33" s="12">
        <f>COUNTIF('Raw Data'!D$2:D$251,F33)</f>
        <v>4</v>
      </c>
      <c r="H33" s="18">
        <f>SUMIF('Raw Data'!D$2:D$251,F33,'Raw Data'!N$2:N$251)</f>
        <v>5519.8899999999994</v>
      </c>
      <c r="K33" s="17"/>
    </row>
    <row r="34" spans="3:11" x14ac:dyDescent="0.3">
      <c r="C34" s="17"/>
      <c r="E34" s="17"/>
      <c r="F34" s="12" t="s">
        <v>175</v>
      </c>
      <c r="G34" s="12">
        <f>COUNTIF('Raw Data'!D$2:D$251,F34)</f>
        <v>5</v>
      </c>
      <c r="H34" s="18">
        <f>SUMIF('Raw Data'!D$2:D$251,F34,'Raw Data'!N$2:N$251)</f>
        <v>5499.8099999999995</v>
      </c>
      <c r="K34" s="17"/>
    </row>
    <row r="35" spans="3:11" x14ac:dyDescent="0.3">
      <c r="C35" s="17"/>
      <c r="E35" s="17"/>
      <c r="F35" s="12" t="s">
        <v>76</v>
      </c>
      <c r="G35" s="12">
        <f>COUNTIF('Raw Data'!D$2:D$251,F35)</f>
        <v>9</v>
      </c>
      <c r="H35" s="18">
        <f>SUMIF('Raw Data'!D$2:D$251,F35,'Raw Data'!N$2:N$251)</f>
        <v>5089.7300000000005</v>
      </c>
      <c r="K35" s="17"/>
    </row>
    <row r="36" spans="3:11" x14ac:dyDescent="0.3">
      <c r="C36" s="17"/>
      <c r="E36" s="17"/>
      <c r="F36" s="12" t="s">
        <v>314</v>
      </c>
      <c r="G36" s="12">
        <f>COUNTIF('Raw Data'!D$2:D$251,F36)</f>
        <v>4</v>
      </c>
      <c r="H36" s="18">
        <f>SUMIF('Raw Data'!D$2:D$251,F36,'Raw Data'!N$2:N$251)</f>
        <v>4829.8899999999994</v>
      </c>
      <c r="K36" s="17"/>
    </row>
    <row r="37" spans="3:11" x14ac:dyDescent="0.3">
      <c r="C37" s="17"/>
      <c r="E37" s="17"/>
      <c r="F37" s="12" t="s">
        <v>114</v>
      </c>
      <c r="G37" s="12">
        <f>COUNTIF('Raw Data'!D$2:D$251,F37)</f>
        <v>6</v>
      </c>
      <c r="H37" s="18">
        <f>SUMIF('Raw Data'!D$2:D$251,F37,'Raw Data'!N$2:N$251)</f>
        <v>4789.7900000000009</v>
      </c>
      <c r="K37" s="17"/>
    </row>
    <row r="38" spans="3:11" x14ac:dyDescent="0.3">
      <c r="C38" s="17"/>
      <c r="E38" s="17"/>
      <c r="F38" s="12" t="s">
        <v>273</v>
      </c>
      <c r="G38" s="12">
        <f>COUNTIF('Raw Data'!D$2:D$251,F38)</f>
        <v>3</v>
      </c>
      <c r="H38" s="18">
        <f>SUMIF('Raw Data'!D$2:D$251,F38,'Raw Data'!N$2:N$251)</f>
        <v>4749.91</v>
      </c>
      <c r="K38" s="17"/>
    </row>
    <row r="39" spans="3:11" x14ac:dyDescent="0.3">
      <c r="C39" s="17"/>
      <c r="E39" s="17"/>
      <c r="F39" s="12" t="s">
        <v>162</v>
      </c>
      <c r="G39" s="12">
        <f>COUNTIF('Raw Data'!D$2:D$251,F39)</f>
        <v>4</v>
      </c>
      <c r="H39" s="18">
        <f>SUMIF('Raw Data'!D$2:D$251,F39,'Raw Data'!N$2:N$251)</f>
        <v>4739.8500000000004</v>
      </c>
      <c r="K39" s="17"/>
    </row>
    <row r="40" spans="3:11" x14ac:dyDescent="0.3">
      <c r="C40" s="17"/>
      <c r="E40" s="17"/>
      <c r="F40" s="12" t="s">
        <v>59</v>
      </c>
      <c r="G40" s="12">
        <f>COUNTIF('Raw Data'!D$2:D$251,F40)</f>
        <v>6</v>
      </c>
      <c r="H40" s="18">
        <f>SUMIF('Raw Data'!D$2:D$251,F40,'Raw Data'!N$2:N$251)</f>
        <v>4309.8099999999995</v>
      </c>
      <c r="K40" s="17"/>
    </row>
    <row r="41" spans="3:11" x14ac:dyDescent="0.3">
      <c r="C41" s="17"/>
      <c r="E41" s="17"/>
      <c r="F41" s="12" t="s">
        <v>99</v>
      </c>
      <c r="G41" s="12">
        <f>COUNTIF('Raw Data'!D$2:D$251,F41)</f>
        <v>2</v>
      </c>
      <c r="H41" s="18">
        <f>SUMIF('Raw Data'!D$2:D$251,F41,'Raw Data'!N$2:N$251)</f>
        <v>4199.9399999999996</v>
      </c>
      <c r="K41" s="17"/>
    </row>
    <row r="42" spans="3:11" x14ac:dyDescent="0.3">
      <c r="C42" s="17"/>
      <c r="E42" s="17"/>
      <c r="F42" s="12" t="s">
        <v>129</v>
      </c>
      <c r="G42" s="12">
        <f>COUNTIF('Raw Data'!D$2:D$251,F42)</f>
        <v>6</v>
      </c>
      <c r="H42" s="18">
        <f>SUMIF('Raw Data'!D$2:D$251,F42,'Raw Data'!N$2:N$251)</f>
        <v>4189.7700000000004</v>
      </c>
      <c r="K42" s="17"/>
    </row>
    <row r="43" spans="3:11" x14ac:dyDescent="0.3">
      <c r="C43" s="17"/>
      <c r="E43" s="17"/>
      <c r="F43" s="12" t="s">
        <v>104</v>
      </c>
      <c r="G43" s="12">
        <f>COUNTIF('Raw Data'!D$2:D$251,F43)</f>
        <v>3</v>
      </c>
      <c r="H43" s="18">
        <f>SUMIF('Raw Data'!D$2:D$251,F43,'Raw Data'!N$2:N$251)</f>
        <v>3779.93</v>
      </c>
      <c r="K43" s="17"/>
    </row>
    <row r="44" spans="3:11" x14ac:dyDescent="0.3">
      <c r="C44" s="17"/>
      <c r="E44" s="17"/>
      <c r="F44" s="12" t="s">
        <v>123</v>
      </c>
      <c r="G44" s="12">
        <f>COUNTIF('Raw Data'!D$2:D$251,F44)</f>
        <v>5</v>
      </c>
      <c r="H44" s="18">
        <f>SUMIF('Raw Data'!D$2:D$251,F44,'Raw Data'!N$2:N$251)</f>
        <v>3769.8300000000004</v>
      </c>
      <c r="K44" s="17"/>
    </row>
    <row r="45" spans="3:11" x14ac:dyDescent="0.3">
      <c r="C45" s="17"/>
      <c r="E45" s="17"/>
      <c r="F45" s="12" t="s">
        <v>192</v>
      </c>
      <c r="G45" s="12">
        <f>COUNTIF('Raw Data'!D$2:D$251,F45)</f>
        <v>4</v>
      </c>
      <c r="H45" s="18">
        <f>SUMIF('Raw Data'!D$2:D$251,F45,'Raw Data'!N$2:N$251)</f>
        <v>3669.8500000000004</v>
      </c>
      <c r="K45" s="17"/>
    </row>
    <row r="46" spans="3:11" x14ac:dyDescent="0.3">
      <c r="C46" s="17"/>
      <c r="E46" s="17"/>
      <c r="F46" s="12" t="s">
        <v>232</v>
      </c>
      <c r="G46" s="12">
        <f>COUNTIF('Raw Data'!D$2:D$251,F46)</f>
        <v>4</v>
      </c>
      <c r="H46" s="18">
        <f>SUMIF('Raw Data'!D$2:D$251,F46,'Raw Data'!N$2:N$251)</f>
        <v>3649.8599999999997</v>
      </c>
      <c r="K46" s="17"/>
    </row>
    <row r="47" spans="3:11" x14ac:dyDescent="0.3">
      <c r="C47" s="17"/>
      <c r="E47" s="17"/>
      <c r="F47" s="12" t="s">
        <v>80</v>
      </c>
      <c r="G47" s="12">
        <f>COUNTIF('Raw Data'!D$2:D$251,F47)</f>
        <v>5</v>
      </c>
      <c r="H47" s="18">
        <f>SUMIF('Raw Data'!D$2:D$251,F47,'Raw Data'!N$2:N$251)</f>
        <v>3509.8999999999996</v>
      </c>
      <c r="K47" s="17"/>
    </row>
    <row r="48" spans="3:11" x14ac:dyDescent="0.3">
      <c r="C48" s="17"/>
      <c r="E48" s="17"/>
      <c r="F48" s="12" t="s">
        <v>50</v>
      </c>
      <c r="G48" s="12">
        <f>COUNTIF('Raw Data'!D$2:D$251,F48)</f>
        <v>6</v>
      </c>
      <c r="H48" s="18">
        <f>SUMIF('Raw Data'!D$2:D$251,F48,'Raw Data'!N$2:N$251)</f>
        <v>3259.87</v>
      </c>
      <c r="K48" s="17"/>
    </row>
    <row r="49" spans="3:11" x14ac:dyDescent="0.3">
      <c r="C49" s="17"/>
      <c r="E49" s="17"/>
      <c r="F49" s="12" t="s">
        <v>159</v>
      </c>
      <c r="G49" s="12">
        <f>COUNTIF('Raw Data'!D$2:D$251,F49)</f>
        <v>6</v>
      </c>
      <c r="H49" s="18">
        <f>SUMIF('Raw Data'!D$2:D$251,F49,'Raw Data'!N$2:N$251)</f>
        <v>2649.83</v>
      </c>
      <c r="K49" s="17"/>
    </row>
    <row r="50" spans="3:11" x14ac:dyDescent="0.3">
      <c r="C50" s="17"/>
      <c r="E50" s="17"/>
      <c r="F50" s="12" t="s">
        <v>206</v>
      </c>
      <c r="G50" s="12">
        <f>COUNTIF('Raw Data'!D$2:D$251,F50)</f>
        <v>4</v>
      </c>
      <c r="H50" s="18">
        <f>SUMIF('Raw Data'!D$2:D$251,F50,'Raw Data'!N$2:N$251)</f>
        <v>2099.88</v>
      </c>
      <c r="K50" s="17"/>
    </row>
    <row r="51" spans="3:11" x14ac:dyDescent="0.3">
      <c r="C51" s="17"/>
      <c r="E51" s="17"/>
      <c r="F51" s="12" t="s">
        <v>150</v>
      </c>
      <c r="G51" s="12">
        <f>COUNTIF('Raw Data'!D$2:D$251,F51)</f>
        <v>5</v>
      </c>
      <c r="H51" s="18">
        <f>SUMIF('Raw Data'!D$2:D$251,F51,'Raw Data'!N$2:N$251)</f>
        <v>2039.8000000000002</v>
      </c>
      <c r="K51" s="17"/>
    </row>
    <row r="52" spans="3:11" x14ac:dyDescent="0.3">
      <c r="C52" s="17"/>
      <c r="E52" s="17"/>
      <c r="F52" s="12" t="s">
        <v>89</v>
      </c>
      <c r="G52" s="12">
        <f>COUNTIF('Raw Data'!D$2:D$251,F52)</f>
        <v>4</v>
      </c>
      <c r="H52" s="18">
        <f>SUMIF('Raw Data'!D$2:D$251,F52,'Raw Data'!N$2:N$251)</f>
        <v>1979.89</v>
      </c>
      <c r="K52" s="17"/>
    </row>
    <row r="53" spans="3:11" x14ac:dyDescent="0.3">
      <c r="C53" s="17"/>
      <c r="E53" s="17"/>
      <c r="F53" s="12" t="s">
        <v>110</v>
      </c>
      <c r="G53" s="12">
        <f>COUNTIF('Raw Data'!D$2:D$251,F53)</f>
        <v>4</v>
      </c>
      <c r="H53" s="18">
        <f>SUMIF('Raw Data'!D$2:D$251,F53,'Raw Data'!N$2:N$251)</f>
        <v>1909.93</v>
      </c>
      <c r="K53" s="17"/>
    </row>
    <row r="54" spans="3:11" x14ac:dyDescent="0.3">
      <c r="C54" s="17"/>
      <c r="E54" s="17"/>
      <c r="F54" s="12" t="s">
        <v>203</v>
      </c>
      <c r="G54" s="12">
        <f>COUNTIF('Raw Data'!D$2:D$251,F54)</f>
        <v>6</v>
      </c>
      <c r="H54" s="18">
        <f>SUMIF('Raw Data'!D$2:D$251,F54,'Raw Data'!N$2:N$251)</f>
        <v>1809.84</v>
      </c>
      <c r="K54" s="17"/>
    </row>
    <row r="55" spans="3:11" x14ac:dyDescent="0.3">
      <c r="C55" s="17"/>
      <c r="E55" s="17"/>
      <c r="F55" s="12" t="s">
        <v>267</v>
      </c>
      <c r="G55" s="12">
        <f>COUNTIF('Raw Data'!D$2:D$251,F55)</f>
        <v>3</v>
      </c>
      <c r="H55" s="18">
        <f>SUMIF('Raw Data'!D$2:D$251,F55,'Raw Data'!N$2:N$251)</f>
        <v>1749.92</v>
      </c>
      <c r="K55" s="17"/>
    </row>
    <row r="56" spans="3:11" x14ac:dyDescent="0.3">
      <c r="C56" s="17"/>
      <c r="E56" s="17"/>
      <c r="F56" s="12" t="s">
        <v>346</v>
      </c>
      <c r="G56" s="12">
        <f>COUNTIF('Raw Data'!D$2:D$251,F56)</f>
        <v>3</v>
      </c>
      <c r="H56" s="18">
        <f>SUMIF('Raw Data'!D$2:D$251,F56,'Raw Data'!N$2:N$251)</f>
        <v>1559.94</v>
      </c>
      <c r="K56" s="17"/>
    </row>
    <row r="57" spans="3:11" x14ac:dyDescent="0.3">
      <c r="C57" s="17"/>
      <c r="E57" s="17"/>
      <c r="F57" s="12" t="s">
        <v>213</v>
      </c>
      <c r="G57" s="12">
        <f>COUNTIF('Raw Data'!D$2:D$251,F57)</f>
        <v>5</v>
      </c>
      <c r="H57" s="18">
        <f>SUMIF('Raw Data'!D$2:D$251,F57,'Raw Data'!N$2:N$251)</f>
        <v>1479.91</v>
      </c>
      <c r="K57" s="17"/>
    </row>
    <row r="58" spans="3:11" x14ac:dyDescent="0.3">
      <c r="C58" s="17"/>
      <c r="E58" s="17"/>
      <c r="F58" s="12" t="s">
        <v>133</v>
      </c>
      <c r="G58" s="12">
        <f>COUNTIF('Raw Data'!D$2:D$251,F58)</f>
        <v>4</v>
      </c>
      <c r="H58" s="18">
        <f>SUMIF('Raw Data'!D$2:D$251,F58,'Raw Data'!N$2:N$251)</f>
        <v>1289.9000000000001</v>
      </c>
      <c r="K58" s="17"/>
    </row>
    <row r="59" spans="3:11" x14ac:dyDescent="0.3">
      <c r="C59" s="17"/>
      <c r="E59" s="17"/>
      <c r="F59" s="12" t="s">
        <v>153</v>
      </c>
      <c r="G59" s="12">
        <f>COUNTIF('Raw Data'!D$2:D$251,F59)</f>
        <v>5</v>
      </c>
      <c r="H59" s="18">
        <f>SUMIF('Raw Data'!D$2:D$251,F59,'Raw Data'!N$2:N$251)</f>
        <v>1229.8800000000001</v>
      </c>
      <c r="K59" s="17"/>
    </row>
    <row r="60" spans="3:11" x14ac:dyDescent="0.3">
      <c r="C60" s="17"/>
      <c r="E60" s="17"/>
      <c r="F60" s="12" t="s">
        <v>252</v>
      </c>
      <c r="G60" s="12">
        <f>COUNTIF('Raw Data'!D$2:D$251,F60)</f>
        <v>3</v>
      </c>
      <c r="H60" s="18">
        <f>SUMIF('Raw Data'!D$2:D$251,F60,'Raw Data'!N$2:N$251)</f>
        <v>1149.93</v>
      </c>
      <c r="K60" s="17"/>
    </row>
    <row r="61" spans="3:11" x14ac:dyDescent="0.3">
      <c r="C61" s="17"/>
      <c r="E61" s="17"/>
      <c r="F61" s="12" t="s">
        <v>280</v>
      </c>
      <c r="G61" s="12">
        <f>COUNTIF('Raw Data'!D$2:D$251,F61)</f>
        <v>3</v>
      </c>
      <c r="H61" s="18">
        <f>SUMIF('Raw Data'!D$2:D$251,F61,'Raw Data'!N$2:N$251)</f>
        <v>739.93000000000006</v>
      </c>
      <c r="K61" s="17"/>
    </row>
    <row r="62" spans="3:11" x14ac:dyDescent="0.3">
      <c r="C62" s="17"/>
      <c r="E62" s="17"/>
      <c r="F62" s="12" t="s">
        <v>407</v>
      </c>
      <c r="G62" s="12">
        <f>COUNTIF('Raw Data'!D$2:D$251,F62)</f>
        <v>1</v>
      </c>
      <c r="H62" s="18">
        <f>SUMIF('Raw Data'!D$2:D$251,F62,'Raw Data'!N$2:N$251)</f>
        <v>599.96</v>
      </c>
      <c r="K62" s="17"/>
    </row>
    <row r="63" spans="3:11" x14ac:dyDescent="0.3">
      <c r="C63" s="17"/>
      <c r="E63" s="17"/>
      <c r="F63" s="12" t="s">
        <v>96</v>
      </c>
      <c r="G63" s="12">
        <f>COUNTIF('Raw Data'!D$2:D$251,F63)</f>
        <v>2</v>
      </c>
      <c r="H63" s="18">
        <f>SUMIF('Raw Data'!D$2:D$251,F63,'Raw Data'!N$2:N$251)</f>
        <v>479.91999999999996</v>
      </c>
      <c r="K63" s="17"/>
    </row>
    <row r="64" spans="3:11" x14ac:dyDescent="0.3">
      <c r="C64" s="17"/>
      <c r="E64" s="17"/>
      <c r="F64" s="12" t="s">
        <v>183</v>
      </c>
      <c r="G64" s="12">
        <f>COUNTIF('Raw Data'!D$2:D$251,F64)</f>
        <v>1</v>
      </c>
      <c r="H64" s="18">
        <f>SUMIF('Raw Data'!D$2:D$251,F64,'Raw Data'!N$2:N$251)</f>
        <v>239.96</v>
      </c>
      <c r="K64" s="17"/>
    </row>
    <row r="65" spans="3:11" x14ac:dyDescent="0.3">
      <c r="C65" s="17"/>
      <c r="E65" s="17"/>
      <c r="F65" s="12" t="s">
        <v>325</v>
      </c>
      <c r="G65" s="12">
        <f>COUNTIF('Raw Data'!D$2:D$251,F65)</f>
        <v>1</v>
      </c>
      <c r="H65" s="18">
        <f>SUMIF('Raw Data'!D$2:D$251,F65,'Raw Data'!N$2:N$251)</f>
        <v>179.97</v>
      </c>
      <c r="K65" s="17"/>
    </row>
  </sheetData>
  <mergeCells count="1">
    <mergeCell ref="A1:H1"/>
  </mergeCells>
  <conditionalFormatting sqref="B4:B11">
    <cfRule type="dataBar" priority="1">
      <dataBar>
        <cfvo type="num" val="0"/>
        <cfvo type="max"/>
        <color rgb="FF00A6A6"/>
      </dataBar>
    </cfRule>
  </conditionalFormatting>
  <conditionalFormatting sqref="H16:H65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L41"/>
  <sheetViews>
    <sheetView workbookViewId="0">
      <pane ySplit="4" topLeftCell="A5" activePane="bottomLeft" state="frozen"/>
      <selection pane="bottomLeft" activeCell="B22" sqref="B22"/>
    </sheetView>
  </sheetViews>
  <sheetFormatPr defaultRowHeight="14.4" x14ac:dyDescent="0.3"/>
  <cols>
    <col min="1" max="1" width="22" customWidth="1"/>
    <col min="2" max="2" width="17" customWidth="1"/>
    <col min="3" max="3" width="14" customWidth="1"/>
    <col min="4" max="4" width="15" customWidth="1"/>
    <col min="5" max="5" width="22" customWidth="1"/>
    <col min="6" max="6" width="17" customWidth="1"/>
    <col min="7" max="7" width="14" customWidth="1"/>
    <col min="8" max="8" width="17" customWidth="1"/>
    <col min="9" max="9" width="3" customWidth="1"/>
    <col min="10" max="19" width="14" customWidth="1"/>
  </cols>
  <sheetData>
    <row r="1" spans="1:12" ht="34.049999999999997" customHeight="1" x14ac:dyDescent="0.3">
      <c r="A1" s="49" t="s">
        <v>448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</row>
    <row r="2" spans="1:12" ht="30" customHeight="1" x14ac:dyDescent="0.3">
      <c r="A2" s="48"/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</row>
    <row r="3" spans="1:12" ht="31.95" customHeight="1" x14ac:dyDescent="0.3">
      <c r="A3" s="38"/>
      <c r="B3" s="39"/>
    </row>
    <row r="4" spans="1:12" ht="21" customHeight="1" x14ac:dyDescent="0.3"/>
    <row r="5" spans="1:12" ht="21" customHeight="1" x14ac:dyDescent="0.3">
      <c r="A5" s="47" t="s">
        <v>449</v>
      </c>
      <c r="B5" s="42"/>
      <c r="C5" s="42"/>
      <c r="D5" s="42"/>
      <c r="E5" s="47" t="s">
        <v>450</v>
      </c>
      <c r="F5" s="42"/>
      <c r="G5" s="42"/>
      <c r="H5" s="42"/>
    </row>
    <row r="6" spans="1:12" ht="21" customHeight="1" x14ac:dyDescent="0.3">
      <c r="A6" s="28" t="s">
        <v>22</v>
      </c>
      <c r="B6" s="28" t="s">
        <v>424</v>
      </c>
      <c r="C6" s="28" t="s">
        <v>428</v>
      </c>
      <c r="D6" s="28" t="s">
        <v>423</v>
      </c>
      <c r="E6" s="28" t="s">
        <v>2</v>
      </c>
      <c r="F6" s="28" t="s">
        <v>424</v>
      </c>
      <c r="G6" s="28" t="s">
        <v>423</v>
      </c>
      <c r="H6" s="28" t="s">
        <v>451</v>
      </c>
    </row>
    <row r="7" spans="1:12" ht="21" customHeight="1" x14ac:dyDescent="0.3">
      <c r="A7" s="29" t="s">
        <v>53</v>
      </c>
      <c r="B7" s="30">
        <f>SUMIF('Raw Data'!$G$2:$G$251,A7,'Raw Data'!$N$2:$N$251)</f>
        <v>8338.7399999999961</v>
      </c>
      <c r="C7" s="31">
        <f>SUMIF('Raw Data'!$G$2:$G$251,A7,'Raw Data'!$H$2:$H$251)</f>
        <v>126</v>
      </c>
      <c r="D7" s="31">
        <f>COUNTIF('Raw Data'!$G$2:$G$251,A7)</f>
        <v>43</v>
      </c>
      <c r="E7" s="29" t="s">
        <v>41</v>
      </c>
      <c r="F7" s="30">
        <f>SUMIF('Raw Data'!$K$2:$K$251,E7,'Raw Data'!$N$2:$N$251)</f>
        <v>41288.340000000018</v>
      </c>
      <c r="G7" s="31">
        <f>COUNTIF('Raw Data'!$K$2:$K$251,E7)</f>
        <v>54</v>
      </c>
      <c r="H7" s="30">
        <f>AVERAGEIF('Raw Data'!$K$2:$K$251,E7,'Raw Data'!$N$2:$N$251)</f>
        <v>764.59888888888918</v>
      </c>
    </row>
    <row r="8" spans="1:12" ht="21" customHeight="1" x14ac:dyDescent="0.3">
      <c r="A8" s="32" t="s">
        <v>39</v>
      </c>
      <c r="B8" s="33">
        <f>SUMIF('Raw Data'!$G$2:$G$251,A8,'Raw Data'!$N$2:$N$251)</f>
        <v>171756.05000000013</v>
      </c>
      <c r="C8" s="34">
        <f>SUMIF('Raw Data'!$G$2:$G$251,A8,'Raw Data'!$H$2:$H$251)</f>
        <v>395</v>
      </c>
      <c r="D8" s="34">
        <f>COUNTIF('Raw Data'!$G$2:$G$251,A8)</f>
        <v>131</v>
      </c>
      <c r="E8" s="32" t="s">
        <v>83</v>
      </c>
      <c r="F8" s="33">
        <f>SUMIF('Raw Data'!$K$2:$K$251,E8,'Raw Data'!$N$2:$N$251)</f>
        <v>59288.389999999992</v>
      </c>
      <c r="G8" s="34">
        <f>COUNTIF('Raw Data'!$K$2:$K$251,E8)</f>
        <v>48</v>
      </c>
      <c r="H8" s="33">
        <f>AVERAGEIF('Raw Data'!$K$2:$K$251,E8,'Raw Data'!$N$2:$N$251)</f>
        <v>1235.1747916666666</v>
      </c>
    </row>
    <row r="9" spans="1:12" ht="21" customHeight="1" x14ac:dyDescent="0.3">
      <c r="A9" s="29" t="s">
        <v>66</v>
      </c>
      <c r="B9" s="30">
        <f>SUMIF('Raw Data'!$G$2:$G$251,A9,'Raw Data'!$N$2:$N$251)</f>
        <v>49097.680000000015</v>
      </c>
      <c r="C9" s="31">
        <f>SUMIF('Raw Data'!$G$2:$G$251,A9,'Raw Data'!$H$2:$H$251)</f>
        <v>232</v>
      </c>
      <c r="D9" s="31">
        <f>COUNTIF('Raw Data'!$G$2:$G$251,A9)</f>
        <v>76</v>
      </c>
      <c r="E9" s="29" t="s">
        <v>60</v>
      </c>
      <c r="F9" s="30">
        <f>SUMIF('Raw Data'!$K$2:$K$251,E9,'Raw Data'!$N$2:$N$251)</f>
        <v>50808.310000000012</v>
      </c>
      <c r="G9" s="31">
        <f>COUNTIF('Raw Data'!$K$2:$K$251,E9)</f>
        <v>59</v>
      </c>
      <c r="H9" s="30">
        <f>AVERAGEIF('Raw Data'!$K$2:$K$251,E9,'Raw Data'!$N$2:$N$251)</f>
        <v>861.15779661016973</v>
      </c>
    </row>
    <row r="10" spans="1:12" ht="21" customHeight="1" x14ac:dyDescent="0.3">
      <c r="E10" s="32" t="s">
        <v>55</v>
      </c>
      <c r="F10" s="33">
        <f>SUMIF('Raw Data'!$K$2:$K$251,E10,'Raw Data'!$N$2:$N$251)</f>
        <v>36398.750000000007</v>
      </c>
      <c r="G10" s="34">
        <f>COUNTIF('Raw Data'!$K$2:$K$251,E10)</f>
        <v>42</v>
      </c>
      <c r="H10" s="33">
        <f>AVERAGEIF('Raw Data'!$K$2:$K$251,E10,'Raw Data'!$N$2:$N$251)</f>
        <v>866.63690476190493</v>
      </c>
    </row>
    <row r="11" spans="1:12" ht="21" customHeight="1" x14ac:dyDescent="0.3">
      <c r="E11" s="29" t="s">
        <v>70</v>
      </c>
      <c r="F11" s="30">
        <f>SUMIF('Raw Data'!$K$2:$K$251,E11,'Raw Data'!$N$2:$N$251)</f>
        <v>41408.680000000015</v>
      </c>
      <c r="G11" s="31">
        <f>COUNTIF('Raw Data'!$K$2:$K$251,E11)</f>
        <v>47</v>
      </c>
      <c r="H11" s="30">
        <f>AVERAGEIF('Raw Data'!$K$2:$K$251,E11,'Raw Data'!$N$2:$N$251)</f>
        <v>881.03574468085139</v>
      </c>
    </row>
    <row r="12" spans="1:12" ht="21" customHeight="1" x14ac:dyDescent="0.3"/>
    <row r="13" spans="1:12" ht="21" customHeight="1" x14ac:dyDescent="0.3"/>
    <row r="14" spans="1:12" ht="21" customHeight="1" x14ac:dyDescent="0.3">
      <c r="A14" s="47" t="s">
        <v>452</v>
      </c>
      <c r="B14" s="42"/>
      <c r="C14" s="42"/>
      <c r="D14" s="42"/>
      <c r="E14" s="47" t="s">
        <v>453</v>
      </c>
      <c r="F14" s="42"/>
      <c r="G14" s="42"/>
      <c r="H14" s="42"/>
    </row>
    <row r="15" spans="1:12" ht="21" customHeight="1" x14ac:dyDescent="0.3">
      <c r="A15" s="28" t="s">
        <v>443</v>
      </c>
      <c r="B15" s="28" t="s">
        <v>424</v>
      </c>
      <c r="C15" s="28" t="s">
        <v>428</v>
      </c>
      <c r="D15" s="28" t="s">
        <v>423</v>
      </c>
      <c r="E15" s="28" t="s">
        <v>454</v>
      </c>
      <c r="F15" s="28" t="s">
        <v>424</v>
      </c>
      <c r="G15" s="28" t="s">
        <v>423</v>
      </c>
      <c r="H15" s="28" t="s">
        <v>451</v>
      </c>
    </row>
    <row r="16" spans="1:12" ht="21" customHeight="1" x14ac:dyDescent="0.3">
      <c r="A16" s="29" t="s">
        <v>52</v>
      </c>
      <c r="B16" s="30">
        <f>SUMIF('Raw Data'!$F$2:$F$251,A16,'Raw Data'!$N$2:$N$251)</f>
        <v>5219.1299999999974</v>
      </c>
      <c r="C16" s="31">
        <f>SUMIF('Raw Data'!$F$2:$F$251,A16,'Raw Data'!$H$2:$H$251)</f>
        <v>87</v>
      </c>
      <c r="D16" s="31">
        <f>COUNTIF('Raw Data'!$F$2:$F$251,A16)</f>
        <v>29</v>
      </c>
      <c r="E16" s="29" t="s">
        <v>42</v>
      </c>
      <c r="F16" s="30">
        <f>SUMIF('Raw Data'!$L$2:$L$251,E16,'Raw Data'!$N$2:$N$251)</f>
        <v>62177.810000000019</v>
      </c>
      <c r="G16" s="31">
        <f>COUNTIF('Raw Data'!$L$2:$L$251,E16)</f>
        <v>74</v>
      </c>
      <c r="H16" s="30">
        <f>AVERAGEIF('Raw Data'!$L$2:$L$251,E16,'Raw Data'!$N$2:$N$251)</f>
        <v>840.2406756756759</v>
      </c>
    </row>
    <row r="17" spans="1:8" ht="21" customHeight="1" x14ac:dyDescent="0.3">
      <c r="A17" s="32" t="s">
        <v>65</v>
      </c>
      <c r="B17" s="33">
        <f>SUMIF('Raw Data'!$F$2:$F$251,A17,'Raw Data'!$N$2:$N$251)</f>
        <v>15298.979999999994</v>
      </c>
      <c r="C17" s="34">
        <f>SUMIF('Raw Data'!$F$2:$F$251,A17,'Raw Data'!$H$2:$H$251)</f>
        <v>102</v>
      </c>
      <c r="D17" s="34">
        <f>COUNTIF('Raw Data'!$F$2:$F$251,A17)</f>
        <v>35</v>
      </c>
      <c r="E17" s="32" t="s">
        <v>47</v>
      </c>
      <c r="F17" s="33">
        <f>SUMIF('Raw Data'!$L$2:$L$251,E17,'Raw Data'!$N$2:$N$251)</f>
        <v>84657.12000000001</v>
      </c>
      <c r="G17" s="34">
        <f>COUNTIF('Raw Data'!$L$2:$L$251,E17)</f>
        <v>95</v>
      </c>
      <c r="H17" s="33">
        <f>AVERAGEIF('Raw Data'!$L$2:$L$251,E17,'Raw Data'!$N$2:$N$251)</f>
        <v>891.12757894736853</v>
      </c>
    </row>
    <row r="18" spans="1:8" ht="21" customHeight="1" x14ac:dyDescent="0.3">
      <c r="A18" s="29" t="s">
        <v>135</v>
      </c>
      <c r="B18" s="30">
        <f>SUMIF('Raw Data'!$F$2:$F$251,A18,'Raw Data'!$N$2:$N$251)</f>
        <v>3119.6099999999992</v>
      </c>
      <c r="C18" s="31">
        <f>SUMIF('Raw Data'!$F$2:$F$251,A18,'Raw Data'!$H$2:$H$251)</f>
        <v>39</v>
      </c>
      <c r="D18" s="31">
        <f>COUNTIF('Raw Data'!$F$2:$F$251,A18)</f>
        <v>14</v>
      </c>
      <c r="E18" s="29" t="s">
        <v>56</v>
      </c>
      <c r="F18" s="30">
        <f>SUMIF('Raw Data'!$L$2:$L$251,E18,'Raw Data'!$N$2:$N$251)</f>
        <v>82357.540000000037</v>
      </c>
      <c r="G18" s="31">
        <f>COUNTIF('Raw Data'!$L$2:$L$251,E18)</f>
        <v>81</v>
      </c>
      <c r="H18" s="30">
        <f>AVERAGEIF('Raw Data'!$L$2:$L$251,E18,'Raw Data'!$N$2:$N$251)</f>
        <v>1016.7597530864202</v>
      </c>
    </row>
    <row r="19" spans="1:8" ht="21" customHeight="1" x14ac:dyDescent="0.3">
      <c r="A19" s="32" t="s">
        <v>126</v>
      </c>
      <c r="B19" s="33">
        <f>SUMIF('Raw Data'!$F$2:$F$251,A19,'Raw Data'!$N$2:$N$251)</f>
        <v>23399.22</v>
      </c>
      <c r="C19" s="34">
        <f>SUMIF('Raw Data'!$F$2:$F$251,A19,'Raw Data'!$H$2:$H$251)</f>
        <v>78</v>
      </c>
      <c r="D19" s="34">
        <f>COUNTIF('Raw Data'!$F$2:$F$251,A19)</f>
        <v>26</v>
      </c>
    </row>
    <row r="20" spans="1:8" ht="21" customHeight="1" x14ac:dyDescent="0.3">
      <c r="A20" s="29" t="s">
        <v>73</v>
      </c>
      <c r="B20" s="30">
        <f>SUMIF('Raw Data'!$F$2:$F$251,A20,'Raw Data'!$N$2:$N$251)</f>
        <v>7049.5299999999988</v>
      </c>
      <c r="C20" s="31">
        <f>SUMIF('Raw Data'!$F$2:$F$251,A20,'Raw Data'!$H$2:$H$251)</f>
        <v>47</v>
      </c>
      <c r="D20" s="31">
        <f>COUNTIF('Raw Data'!$F$2:$F$251,A20)</f>
        <v>16</v>
      </c>
    </row>
    <row r="21" spans="1:8" ht="21" customHeight="1" x14ac:dyDescent="0.3">
      <c r="A21" s="32" t="s">
        <v>138</v>
      </c>
      <c r="B21" s="33">
        <f>SUMIF('Raw Data'!$F$2:$F$251,A21,'Raw Data'!$N$2:$N$251)</f>
        <v>8009.1099999999969</v>
      </c>
      <c r="C21" s="34">
        <f>SUMIF('Raw Data'!$F$2:$F$251,A21,'Raw Data'!$H$2:$H$251)</f>
        <v>89</v>
      </c>
      <c r="D21" s="34">
        <f>COUNTIF('Raw Data'!$F$2:$F$251,A21)</f>
        <v>34</v>
      </c>
    </row>
    <row r="22" spans="1:8" ht="21" customHeight="1" x14ac:dyDescent="0.3">
      <c r="A22" s="29" t="s">
        <v>82</v>
      </c>
      <c r="B22" s="30">
        <f>SUMIF('Raw Data'!$F$2:$F$251,A22,'Raw Data'!$N$2:$N$251)</f>
        <v>67499.25</v>
      </c>
      <c r="C22" s="31">
        <f>SUMIF('Raw Data'!$F$2:$F$251,A22,'Raw Data'!$H$2:$H$251)</f>
        <v>75</v>
      </c>
      <c r="D22" s="31">
        <f>COUNTIF('Raw Data'!$F$2:$F$251,A22)</f>
        <v>24</v>
      </c>
    </row>
    <row r="23" spans="1:8" ht="21" customHeight="1" x14ac:dyDescent="0.3">
      <c r="A23" s="32" t="s">
        <v>38</v>
      </c>
      <c r="B23" s="33">
        <f>SUMIF('Raw Data'!$F$2:$F$251,A23,'Raw Data'!$N$2:$N$251)</f>
        <v>21999.119999999999</v>
      </c>
      <c r="C23" s="34">
        <f>SUMIF('Raw Data'!$F$2:$F$251,A23,'Raw Data'!$H$2:$H$251)</f>
        <v>88</v>
      </c>
      <c r="D23" s="34">
        <f>COUNTIF('Raw Data'!$F$2:$F$251,A23)</f>
        <v>26</v>
      </c>
    </row>
    <row r="24" spans="1:8" ht="21" customHeight="1" x14ac:dyDescent="0.3">
      <c r="A24" s="29" t="s">
        <v>147</v>
      </c>
      <c r="B24" s="30">
        <f>SUMIF('Raw Data'!$F$2:$F$251,A24,'Raw Data'!$N$2:$N$251)</f>
        <v>10399.479999999998</v>
      </c>
      <c r="C24" s="31">
        <f>SUMIF('Raw Data'!$F$2:$F$251,A24,'Raw Data'!$H$2:$H$251)</f>
        <v>52</v>
      </c>
      <c r="D24" s="31">
        <f>COUNTIF('Raw Data'!$F$2:$F$251,A24)</f>
        <v>15</v>
      </c>
    </row>
    <row r="25" spans="1:8" ht="21" customHeight="1" x14ac:dyDescent="0.3">
      <c r="A25" s="32" t="s">
        <v>101</v>
      </c>
      <c r="B25" s="33">
        <f>SUMIF('Raw Data'!$F$2:$F$251,A25,'Raw Data'!$N$2:$N$251)</f>
        <v>67199.039999999994</v>
      </c>
      <c r="C25" s="34">
        <f>SUMIF('Raw Data'!$F$2:$F$251,A25,'Raw Data'!$H$2:$H$251)</f>
        <v>96</v>
      </c>
      <c r="D25" s="34">
        <f>COUNTIF('Raw Data'!$F$2:$F$251,A25)</f>
        <v>31</v>
      </c>
    </row>
    <row r="26" spans="1:8" ht="21" customHeight="1" x14ac:dyDescent="0.3"/>
    <row r="27" spans="1:8" ht="21" customHeight="1" x14ac:dyDescent="0.3">
      <c r="A27" s="47" t="s">
        <v>455</v>
      </c>
      <c r="B27" s="42"/>
      <c r="C27" s="42"/>
      <c r="E27" s="47" t="s">
        <v>456</v>
      </c>
      <c r="F27" s="42"/>
      <c r="G27" s="42"/>
    </row>
    <row r="28" spans="1:8" ht="21" customHeight="1" x14ac:dyDescent="0.3">
      <c r="A28" s="28" t="s">
        <v>457</v>
      </c>
      <c r="B28" s="28" t="s">
        <v>424</v>
      </c>
      <c r="C28" s="28" t="s">
        <v>423</v>
      </c>
      <c r="E28" s="28" t="s">
        <v>29</v>
      </c>
      <c r="F28" s="28" t="s">
        <v>424</v>
      </c>
      <c r="G28" s="28" t="s">
        <v>423</v>
      </c>
    </row>
    <row r="29" spans="1:8" ht="21" customHeight="1" x14ac:dyDescent="0.3">
      <c r="A29" s="29" t="s">
        <v>40</v>
      </c>
      <c r="B29" s="30">
        <f>SUMIF('Raw Data'!$J$2:$J$251,A29,'Raw Data'!$N$2:$N$251)</f>
        <v>57427.790000000023</v>
      </c>
      <c r="C29" s="31">
        <f>COUNTIF('Raw Data'!$J$2:$J$251,A29)</f>
        <v>76</v>
      </c>
      <c r="E29" s="35">
        <v>45383</v>
      </c>
      <c r="F29" s="30">
        <f>SUMIFS('Raw Data'!$N$2:$N$251,'Raw Data'!$B$2:$B$251,"&gt;="&amp;E29,'Raw Data'!$B$2:$B$251,"&lt;"&amp;EDATE(E29,1))</f>
        <v>20919.330000000002</v>
      </c>
      <c r="G29" s="31">
        <f>COUNTIFS('Raw Data'!$B$2:$B$251,"&gt;="&amp;E29,'Raw Data'!$B$2:$B$251,"&lt;"&amp;EDATE(E29,1))</f>
        <v>21</v>
      </c>
    </row>
    <row r="30" spans="1:8" ht="21" customHeight="1" x14ac:dyDescent="0.3">
      <c r="A30" s="32" t="s">
        <v>46</v>
      </c>
      <c r="B30" s="33">
        <f>SUMIF('Raw Data'!$J$2:$J$251,A30,'Raw Data'!$N$2:$N$251)</f>
        <v>61447.960000000014</v>
      </c>
      <c r="C30" s="34">
        <f>COUNTIF('Raw Data'!$J$2:$J$251,A30)</f>
        <v>68</v>
      </c>
      <c r="E30" s="36">
        <v>45413</v>
      </c>
      <c r="F30" s="33">
        <f>SUMIFS('Raw Data'!$N$2:$N$251,'Raw Data'!$B$2:$B$251,"&gt;="&amp;E30,'Raw Data'!$B$2:$B$251,"&lt;"&amp;EDATE(E30,1))</f>
        <v>17039.349999999999</v>
      </c>
      <c r="G30" s="34">
        <f>COUNTIFS('Raw Data'!$B$2:$B$251,"&gt;="&amp;E30,'Raw Data'!$B$2:$B$251,"&lt;"&amp;EDATE(E30,1))</f>
        <v>19</v>
      </c>
    </row>
    <row r="31" spans="1:8" ht="21" customHeight="1" x14ac:dyDescent="0.3">
      <c r="A31" s="29" t="s">
        <v>77</v>
      </c>
      <c r="B31" s="30">
        <f>SUMIF('Raw Data'!$J$2:$J$251,A31,'Raw Data'!$N$2:$N$251)</f>
        <v>52118.310000000005</v>
      </c>
      <c r="C31" s="31">
        <f>COUNTIF('Raw Data'!$J$2:$J$251,A31)</f>
        <v>54</v>
      </c>
      <c r="E31" s="35">
        <v>45444</v>
      </c>
      <c r="F31" s="30">
        <f>SUMIFS('Raw Data'!$N$2:$N$251,'Raw Data'!$B$2:$B$251,"&gt;="&amp;E31,'Raw Data'!$B$2:$B$251,"&lt;"&amp;EDATE(E31,1))</f>
        <v>19299.45</v>
      </c>
      <c r="G31" s="31">
        <f>COUNTIFS('Raw Data'!$B$2:$B$251,"&gt;="&amp;E31,'Raw Data'!$B$2:$B$251,"&lt;"&amp;EDATE(E31,1))</f>
        <v>19</v>
      </c>
    </row>
    <row r="32" spans="1:8" ht="21" customHeight="1" x14ac:dyDescent="0.3">
      <c r="A32" s="32" t="s">
        <v>54</v>
      </c>
      <c r="B32" s="33">
        <f>SUMIF('Raw Data'!$J$2:$J$251,A32,'Raw Data'!$N$2:$N$251)</f>
        <v>58198.409999999996</v>
      </c>
      <c r="C32" s="34">
        <f>COUNTIF('Raw Data'!$J$2:$J$251,A32)</f>
        <v>52</v>
      </c>
      <c r="E32" s="36">
        <v>45474</v>
      </c>
      <c r="F32" s="33">
        <f>SUMIFS('Raw Data'!$N$2:$N$251,'Raw Data'!$B$2:$B$251,"&gt;="&amp;E32,'Raw Data'!$B$2:$B$251,"&lt;"&amp;EDATE(E32,1))</f>
        <v>18479.399999999994</v>
      </c>
      <c r="G32" s="34">
        <f>COUNTIFS('Raw Data'!$B$2:$B$251,"&gt;="&amp;E32,'Raw Data'!$B$2:$B$251,"&lt;"&amp;EDATE(E32,1))</f>
        <v>24</v>
      </c>
    </row>
    <row r="33" spans="5:7" ht="21" customHeight="1" x14ac:dyDescent="0.3">
      <c r="E33" s="35">
        <v>45505</v>
      </c>
      <c r="F33" s="30">
        <f>SUMIFS('Raw Data'!$N$2:$N$251,'Raw Data'!$B$2:$B$251,"&gt;="&amp;E33,'Raw Data'!$B$2:$B$251,"&lt;"&amp;EDATE(E33,1))</f>
        <v>15759.429999999997</v>
      </c>
      <c r="G33" s="31">
        <f>COUNTIFS('Raw Data'!$B$2:$B$251,"&gt;="&amp;E33,'Raw Data'!$B$2:$B$251,"&lt;"&amp;EDATE(E33,1))</f>
        <v>18</v>
      </c>
    </row>
    <row r="34" spans="5:7" ht="21" customHeight="1" x14ac:dyDescent="0.3">
      <c r="E34" s="36">
        <v>45536</v>
      </c>
      <c r="F34" s="33">
        <f>SUMIFS('Raw Data'!$N$2:$N$251,'Raw Data'!$B$2:$B$251,"&gt;="&amp;E34,'Raw Data'!$B$2:$B$251,"&lt;"&amp;EDATE(E34,1))</f>
        <v>12989.509999999997</v>
      </c>
      <c r="G34" s="34">
        <f>COUNTIFS('Raw Data'!$B$2:$B$251,"&gt;="&amp;E34,'Raw Data'!$B$2:$B$251,"&lt;"&amp;EDATE(E34,1))</f>
        <v>19</v>
      </c>
    </row>
    <row r="35" spans="5:7" ht="21" customHeight="1" x14ac:dyDescent="0.3">
      <c r="E35" s="35">
        <v>45566</v>
      </c>
      <c r="F35" s="30">
        <f>SUMIFS('Raw Data'!$N$2:$N$251,'Raw Data'!$B$2:$B$251,"&gt;="&amp;E35,'Raw Data'!$B$2:$B$251,"&lt;"&amp;EDATE(E35,1))</f>
        <v>20609.52</v>
      </c>
      <c r="G35" s="31">
        <f>COUNTIFS('Raw Data'!$B$2:$B$251,"&gt;="&amp;E35,'Raw Data'!$B$2:$B$251,"&lt;"&amp;EDATE(E35,1))</f>
        <v>16</v>
      </c>
    </row>
    <row r="36" spans="5:7" ht="21" customHeight="1" x14ac:dyDescent="0.3">
      <c r="E36" s="36">
        <v>45597</v>
      </c>
      <c r="F36" s="33">
        <f>SUMIFS('Raw Data'!$N$2:$N$251,'Raw Data'!$B$2:$B$251,"&gt;="&amp;E36,'Raw Data'!$B$2:$B$251,"&lt;"&amp;EDATE(E36,1))</f>
        <v>12309.439999999999</v>
      </c>
      <c r="G36" s="34">
        <f>COUNTIFS('Raw Data'!$B$2:$B$251,"&gt;="&amp;E36,'Raw Data'!$B$2:$B$251,"&lt;"&amp;EDATE(E36,1))</f>
        <v>17</v>
      </c>
    </row>
    <row r="37" spans="5:7" ht="21" customHeight="1" x14ac:dyDescent="0.3">
      <c r="E37" s="35">
        <v>45627</v>
      </c>
      <c r="F37" s="30">
        <f>SUMIFS('Raw Data'!$N$2:$N$251,'Raw Data'!$B$2:$B$251,"&gt;="&amp;E37,'Raw Data'!$B$2:$B$251,"&lt;"&amp;EDATE(E37,1))</f>
        <v>23039.3</v>
      </c>
      <c r="G37" s="31">
        <f>COUNTIFS('Raw Data'!$B$2:$B$251,"&gt;="&amp;E37,'Raw Data'!$B$2:$B$251,"&lt;"&amp;EDATE(E37,1))</f>
        <v>25</v>
      </c>
    </row>
    <row r="38" spans="5:7" ht="21" customHeight="1" x14ac:dyDescent="0.3">
      <c r="E38" s="36">
        <v>45658</v>
      </c>
      <c r="F38" s="33">
        <f>SUMIFS('Raw Data'!$N$2:$N$251,'Raw Data'!$B$2:$B$251,"&gt;="&amp;E38,'Raw Data'!$B$2:$B$251,"&lt;"&amp;EDATE(E38,1))</f>
        <v>25799.15</v>
      </c>
      <c r="G38" s="34">
        <f>COUNTIFS('Raw Data'!$B$2:$B$251,"&gt;="&amp;E38,'Raw Data'!$B$2:$B$251,"&lt;"&amp;EDATE(E38,1))</f>
        <v>26</v>
      </c>
    </row>
    <row r="39" spans="5:7" ht="21" customHeight="1" x14ac:dyDescent="0.3">
      <c r="E39" s="35">
        <v>45689</v>
      </c>
      <c r="F39" s="30">
        <f>SUMIFS('Raw Data'!$N$2:$N$251,'Raw Data'!$B$2:$B$251,"&gt;="&amp;E39,'Raw Data'!$B$2:$B$251,"&lt;"&amp;EDATE(E39,1))</f>
        <v>16069.379999999997</v>
      </c>
      <c r="G39" s="31">
        <f>COUNTIFS('Raw Data'!$B$2:$B$251,"&gt;="&amp;E39,'Raw Data'!$B$2:$B$251,"&lt;"&amp;EDATE(E39,1))</f>
        <v>20</v>
      </c>
    </row>
    <row r="40" spans="5:7" ht="21" customHeight="1" x14ac:dyDescent="0.3">
      <c r="E40" s="36">
        <v>45717</v>
      </c>
      <c r="F40" s="33">
        <f>SUMIFS('Raw Data'!$N$2:$N$251,'Raw Data'!$B$2:$B$251,"&gt;="&amp;E40,'Raw Data'!$B$2:$B$251,"&lt;"&amp;EDATE(E40,1))</f>
        <v>19899.379999999997</v>
      </c>
      <c r="G40" s="34">
        <f>COUNTIFS('Raw Data'!$B$2:$B$251,"&gt;="&amp;E40,'Raw Data'!$B$2:$B$251,"&lt;"&amp;EDATE(E40,1))</f>
        <v>19</v>
      </c>
    </row>
    <row r="41" spans="5:7" ht="21" customHeight="1" x14ac:dyDescent="0.3">
      <c r="E41" s="35">
        <v>45748</v>
      </c>
      <c r="F41" s="30">
        <f>SUMIFS('Raw Data'!$N$2:$N$251,'Raw Data'!$B$2:$B$251,"&gt;="&amp;E41,'Raw Data'!$B$2:$B$251,"&lt;"&amp;EDATE(E41,1))</f>
        <v>6979.829999999999</v>
      </c>
      <c r="G41" s="31">
        <f>COUNTIFS('Raw Data'!$B$2:$B$251,"&gt;="&amp;E41,'Raw Data'!$B$2:$B$251,"&lt;"&amp;EDATE(E41,1))</f>
        <v>7</v>
      </c>
    </row>
  </sheetData>
  <mergeCells count="8">
    <mergeCell ref="E14:H14"/>
    <mergeCell ref="A5:D5"/>
    <mergeCell ref="A2:L2"/>
    <mergeCell ref="E27:G27"/>
    <mergeCell ref="A1:L1"/>
    <mergeCell ref="A27:C27"/>
    <mergeCell ref="E5:H5"/>
    <mergeCell ref="A14:D14"/>
  </mergeCells>
  <pageMargins left="0.75" right="0.75" top="1" bottom="1" header="0.5" footer="0.5"/>
  <pageSetup fitToHeight="0"/>
  <tableParts count="6">
    <tablePart r:id="rId1"/>
    <tablePart r:id="rId2"/>
    <tablePart r:id="rId3"/>
    <tablePart r:id="rId4"/>
    <tablePart r:id="rId5"/>
    <tablePart r:id="rId6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16"/>
  <sheetViews>
    <sheetView workbookViewId="0">
      <selection sqref="A1:L1"/>
    </sheetView>
  </sheetViews>
  <sheetFormatPr defaultRowHeight="14.4" x14ac:dyDescent="0.3"/>
  <cols>
    <col min="1" max="1" width="22" customWidth="1"/>
    <col min="2" max="2" width="17" customWidth="1"/>
    <col min="3" max="3" width="3" customWidth="1"/>
    <col min="4" max="4" width="18" customWidth="1"/>
    <col min="5" max="5" width="17" customWidth="1"/>
    <col min="6" max="6" width="3" customWidth="1"/>
    <col min="7" max="7" width="22" customWidth="1"/>
    <col min="8" max="8" width="15" customWidth="1"/>
    <col min="9" max="9" width="3" customWidth="1"/>
    <col min="10" max="10" width="15" customWidth="1"/>
    <col min="11" max="11" width="18" customWidth="1"/>
    <col min="12" max="12" width="3" customWidth="1"/>
  </cols>
  <sheetData>
    <row r="1" spans="1:12" ht="31.95" customHeight="1" x14ac:dyDescent="0.3">
      <c r="A1" s="45" t="s">
        <v>458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</row>
    <row r="3" spans="1:12" x14ac:dyDescent="0.3">
      <c r="A3" s="23" t="s">
        <v>459</v>
      </c>
      <c r="D3" s="23" t="s">
        <v>460</v>
      </c>
      <c r="G3" s="23" t="s">
        <v>461</v>
      </c>
      <c r="J3" s="23" t="s">
        <v>462</v>
      </c>
    </row>
    <row r="4" spans="1:12" x14ac:dyDescent="0.3">
      <c r="A4" s="12" t="str">
        <f>Analysis!D4</f>
        <v>Appliances</v>
      </c>
      <c r="B4" s="12">
        <f>Analysis!E4</f>
        <v>8338.7399999999961</v>
      </c>
      <c r="C4" s="12"/>
      <c r="D4" s="12" t="str">
        <f>Analysis!G4</f>
        <v>Central</v>
      </c>
      <c r="E4" s="12">
        <f>Analysis!H4</f>
        <v>41288.340000000018</v>
      </c>
      <c r="F4" s="12"/>
      <c r="G4" s="12" t="str">
        <f>Analysis!A16</f>
        <v>Blender</v>
      </c>
      <c r="H4" s="12">
        <f>Analysis!B16</f>
        <v>87</v>
      </c>
      <c r="I4" s="12"/>
      <c r="J4" s="12" t="str">
        <f>Analysis!J4</f>
        <v>2024-04</v>
      </c>
      <c r="K4" s="12">
        <f>Analysis!K4</f>
        <v>20919.330000000002</v>
      </c>
    </row>
    <row r="5" spans="1:12" x14ac:dyDescent="0.3">
      <c r="A5" s="12" t="str">
        <f>Analysis!D5</f>
        <v>Electronics</v>
      </c>
      <c r="B5" s="12">
        <f>Analysis!E5</f>
        <v>171756.05000000013</v>
      </c>
      <c r="C5" s="12"/>
      <c r="D5" s="12" t="str">
        <f>Analysis!G5</f>
        <v>East</v>
      </c>
      <c r="E5" s="12">
        <f>Analysis!H5</f>
        <v>59288.389999999992</v>
      </c>
      <c r="F5" s="12"/>
      <c r="G5" s="12" t="str">
        <f>Analysis!A17</f>
        <v>Bookshelf</v>
      </c>
      <c r="H5" s="12">
        <f>Analysis!B17</f>
        <v>102</v>
      </c>
      <c r="I5" s="12"/>
      <c r="J5" s="12" t="str">
        <f>Analysis!J5</f>
        <v>2024-05</v>
      </c>
      <c r="K5" s="12">
        <f>Analysis!K5</f>
        <v>17039.349999999999</v>
      </c>
    </row>
    <row r="6" spans="1:12" x14ac:dyDescent="0.3">
      <c r="A6" s="12" t="str">
        <f>Analysis!D6</f>
        <v>Furniture</v>
      </c>
      <c r="B6" s="12">
        <f>Analysis!E6</f>
        <v>49097.680000000015</v>
      </c>
      <c r="C6" s="12"/>
      <c r="D6" s="12" t="str">
        <f>Analysis!G6</f>
        <v>North</v>
      </c>
      <c r="E6" s="12">
        <f>Analysis!H6</f>
        <v>50808.310000000012</v>
      </c>
      <c r="F6" s="12"/>
      <c r="G6" s="12" t="str">
        <f>Analysis!A18</f>
        <v>Coffee Maker</v>
      </c>
      <c r="H6" s="12">
        <f>Analysis!B18</f>
        <v>39</v>
      </c>
      <c r="I6" s="12"/>
      <c r="J6" s="12" t="str">
        <f>Analysis!J6</f>
        <v>2024-06</v>
      </c>
      <c r="K6" s="12">
        <f>Analysis!K6</f>
        <v>19299.45</v>
      </c>
    </row>
    <row r="7" spans="1:12" x14ac:dyDescent="0.3">
      <c r="A7" s="12"/>
      <c r="B7" s="12"/>
      <c r="C7" s="12"/>
      <c r="D7" s="12" t="str">
        <f>Analysis!G7</f>
        <v>South</v>
      </c>
      <c r="E7" s="12">
        <f>Analysis!H7</f>
        <v>36398.750000000007</v>
      </c>
      <c r="F7" s="12"/>
      <c r="G7" s="12" t="str">
        <f>Analysis!A19</f>
        <v>Desk</v>
      </c>
      <c r="H7" s="12">
        <f>Analysis!B19</f>
        <v>78</v>
      </c>
      <c r="I7" s="12"/>
      <c r="J7" s="12" t="str">
        <f>Analysis!J7</f>
        <v>2024-07</v>
      </c>
      <c r="K7" s="12">
        <f>Analysis!K7</f>
        <v>18479.399999999994</v>
      </c>
    </row>
    <row r="8" spans="1:12" x14ac:dyDescent="0.3">
      <c r="A8" s="12"/>
      <c r="B8" s="12"/>
      <c r="C8" s="12"/>
      <c r="D8" s="12" t="str">
        <f>Analysis!G8</f>
        <v>West</v>
      </c>
      <c r="E8" s="12">
        <f>Analysis!H8</f>
        <v>41408.680000000015</v>
      </c>
      <c r="F8" s="12"/>
      <c r="G8" s="12" t="str">
        <f>Analysis!A20</f>
        <v>Headphones</v>
      </c>
      <c r="H8" s="12">
        <f>Analysis!B20</f>
        <v>47</v>
      </c>
      <c r="I8" s="12"/>
      <c r="J8" s="12" t="str">
        <f>Analysis!J8</f>
        <v>2024-08</v>
      </c>
      <c r="K8" s="12">
        <f>Analysis!K8</f>
        <v>15759.429999999997</v>
      </c>
    </row>
    <row r="9" spans="1:12" x14ac:dyDescent="0.3">
      <c r="A9" s="12"/>
      <c r="B9" s="12"/>
      <c r="C9" s="12"/>
      <c r="D9" s="12"/>
      <c r="E9" s="12"/>
      <c r="F9" s="12"/>
      <c r="G9" s="12" t="str">
        <f>Analysis!A21</f>
        <v>Keyboard</v>
      </c>
      <c r="H9" s="12">
        <f>Analysis!B21</f>
        <v>89</v>
      </c>
      <c r="I9" s="12"/>
      <c r="J9" s="12" t="str">
        <f>Analysis!J9</f>
        <v>2024-09</v>
      </c>
      <c r="K9" s="12">
        <f>Analysis!K9</f>
        <v>12989.509999999997</v>
      </c>
    </row>
    <row r="10" spans="1:12" x14ac:dyDescent="0.3">
      <c r="A10" s="12"/>
      <c r="B10" s="12"/>
      <c r="C10" s="12"/>
      <c r="D10" s="12"/>
      <c r="E10" s="12"/>
      <c r="F10" s="12"/>
      <c r="G10" s="12" t="str">
        <f>Analysis!A22</f>
        <v>Laptop</v>
      </c>
      <c r="H10" s="12">
        <f>Analysis!B22</f>
        <v>75</v>
      </c>
      <c r="I10" s="12"/>
      <c r="J10" s="12" t="str">
        <f>Analysis!J10</f>
        <v>2024-10</v>
      </c>
      <c r="K10" s="12">
        <f>Analysis!K10</f>
        <v>20609.52</v>
      </c>
    </row>
    <row r="11" spans="1:12" x14ac:dyDescent="0.3">
      <c r="A11" s="12"/>
      <c r="B11" s="12"/>
      <c r="C11" s="12"/>
      <c r="D11" s="12"/>
      <c r="E11" s="12"/>
      <c r="F11" s="12"/>
      <c r="G11" s="12" t="str">
        <f>Analysis!A23</f>
        <v>Monitor</v>
      </c>
      <c r="H11" s="12">
        <f>Analysis!B23</f>
        <v>88</v>
      </c>
      <c r="I11" s="12"/>
      <c r="J11" s="12" t="str">
        <f>Analysis!J11</f>
        <v>2024-11</v>
      </c>
      <c r="K11" s="12">
        <f>Analysis!K11</f>
        <v>12309.439999999999</v>
      </c>
    </row>
    <row r="12" spans="1:12" x14ac:dyDescent="0.3">
      <c r="A12" s="12"/>
      <c r="B12" s="12"/>
      <c r="C12" s="12"/>
      <c r="D12" s="12"/>
      <c r="E12" s="12"/>
      <c r="F12" s="12"/>
      <c r="G12" s="12" t="str">
        <f>Analysis!A24</f>
        <v>Office Chair</v>
      </c>
      <c r="H12" s="12">
        <f>Analysis!B24</f>
        <v>52</v>
      </c>
      <c r="I12" s="12"/>
      <c r="J12" s="12" t="str">
        <f>Analysis!J12</f>
        <v>2024-12</v>
      </c>
      <c r="K12" s="12">
        <f>Analysis!K12</f>
        <v>23039.3</v>
      </c>
    </row>
    <row r="13" spans="1:12" x14ac:dyDescent="0.3">
      <c r="A13" s="12"/>
      <c r="B13" s="12"/>
      <c r="C13" s="12"/>
      <c r="D13" s="12"/>
      <c r="E13" s="12"/>
      <c r="F13" s="12"/>
      <c r="G13" s="12" t="str">
        <f>Analysis!A25</f>
        <v>Smartphone</v>
      </c>
      <c r="H13" s="12">
        <f>Analysis!B25</f>
        <v>96</v>
      </c>
      <c r="I13" s="12"/>
      <c r="J13" s="12" t="str">
        <f>Analysis!J13</f>
        <v>2025-01</v>
      </c>
      <c r="K13" s="12">
        <f>Analysis!K13</f>
        <v>25799.15</v>
      </c>
    </row>
    <row r="14" spans="1:12" x14ac:dyDescent="0.3">
      <c r="A14" s="12"/>
      <c r="B14" s="12"/>
      <c r="C14" s="12"/>
      <c r="D14" s="12"/>
      <c r="E14" s="12"/>
      <c r="F14" s="12"/>
      <c r="G14" s="12"/>
      <c r="H14" s="12"/>
      <c r="I14" s="12"/>
      <c r="J14" s="12" t="str">
        <f>Analysis!J14</f>
        <v>2025-02</v>
      </c>
      <c r="K14" s="12">
        <f>Analysis!K14</f>
        <v>16069.379999999997</v>
      </c>
    </row>
    <row r="15" spans="1:12" x14ac:dyDescent="0.3">
      <c r="A15" s="12"/>
      <c r="B15" s="12"/>
      <c r="C15" s="12"/>
      <c r="D15" s="12"/>
      <c r="E15" s="12"/>
      <c r="F15" s="12"/>
      <c r="G15" s="12"/>
      <c r="H15" s="12"/>
      <c r="I15" s="12"/>
      <c r="J15" s="12" t="str">
        <f>Analysis!J15</f>
        <v>2025-03</v>
      </c>
      <c r="K15" s="12">
        <f>Analysis!K15</f>
        <v>19899.379999999997</v>
      </c>
    </row>
    <row r="16" spans="1:12" x14ac:dyDescent="0.3">
      <c r="A16" s="12"/>
      <c r="B16" s="12"/>
      <c r="C16" s="12"/>
      <c r="D16" s="12"/>
      <c r="E16" s="12"/>
      <c r="F16" s="12"/>
      <c r="G16" s="12"/>
      <c r="H16" s="12"/>
      <c r="I16" s="12"/>
      <c r="J16" s="12" t="str">
        <f>Analysis!J16</f>
        <v>2025-04</v>
      </c>
      <c r="K16" s="12">
        <f>Analysis!K16</f>
        <v>6979.829999999999</v>
      </c>
    </row>
  </sheetData>
  <mergeCells count="1">
    <mergeCell ref="A1:L1"/>
  </mergeCells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26"/>
  <sheetViews>
    <sheetView workbookViewId="0">
      <selection activeCell="D11" sqref="D11"/>
    </sheetView>
  </sheetViews>
  <sheetFormatPr defaultRowHeight="14.4" x14ac:dyDescent="0.3"/>
  <cols>
    <col min="1" max="1" width="48" customWidth="1"/>
    <col min="2" max="3" width="20" customWidth="1"/>
    <col min="4" max="4" width="22" customWidth="1"/>
    <col min="5" max="8" width="14" customWidth="1"/>
  </cols>
  <sheetData>
    <row r="1" spans="1:8" ht="31.95" customHeight="1" x14ac:dyDescent="0.3">
      <c r="A1" s="45" t="s">
        <v>463</v>
      </c>
      <c r="B1" s="42"/>
      <c r="C1" s="42"/>
      <c r="D1" s="42"/>
      <c r="E1" s="42"/>
      <c r="F1" s="42"/>
      <c r="G1" s="42"/>
      <c r="H1" s="42"/>
    </row>
    <row r="3" spans="1:8" x14ac:dyDescent="0.3">
      <c r="A3" s="14" t="s">
        <v>464</v>
      </c>
      <c r="B3" s="14" t="s">
        <v>465</v>
      </c>
      <c r="C3" s="14" t="s">
        <v>466</v>
      </c>
      <c r="D3" s="14" t="s">
        <v>467</v>
      </c>
    </row>
    <row r="4" spans="1:8" x14ac:dyDescent="0.3">
      <c r="A4" s="12" t="s">
        <v>468</v>
      </c>
      <c r="B4" s="24">
        <v>0.9</v>
      </c>
      <c r="C4" s="24">
        <v>0.95</v>
      </c>
      <c r="D4" s="18">
        <f>SUM('Raw Data'!H2:H251)*B4*SUM('Raw Data'!I2:I251)*C4/COUNT('Raw Data'!I2:I251)</f>
        <v>191000.59605000005</v>
      </c>
    </row>
    <row r="5" spans="1:8" x14ac:dyDescent="0.3">
      <c r="A5" s="12" t="s">
        <v>469</v>
      </c>
      <c r="B5" s="24">
        <v>1</v>
      </c>
      <c r="C5" s="24">
        <v>1</v>
      </c>
      <c r="D5" s="18">
        <f>SUM('Raw Data'!H2:H251)*B5*SUM('Raw Data'!I2:I251)*C5/COUNT('Raw Data'!I2:I251)</f>
        <v>223392.51000000004</v>
      </c>
    </row>
    <row r="6" spans="1:8" x14ac:dyDescent="0.3">
      <c r="A6" s="12" t="s">
        <v>470</v>
      </c>
      <c r="B6" s="24">
        <v>1.1499999999999999</v>
      </c>
      <c r="C6" s="24">
        <v>1.05</v>
      </c>
      <c r="D6" s="18">
        <f>SUM('Raw Data'!H2:H251)*B6*SUM('Raw Data'!I2:I251)*C6/COUNT('Raw Data'!I2:I251)</f>
        <v>269746.45582500007</v>
      </c>
    </row>
    <row r="9" spans="1:8" x14ac:dyDescent="0.3">
      <c r="A9" s="23" t="s">
        <v>471</v>
      </c>
    </row>
    <row r="10" spans="1:8" x14ac:dyDescent="0.3">
      <c r="A10" s="12" t="s">
        <v>472</v>
      </c>
      <c r="B10" s="12">
        <v>50000</v>
      </c>
    </row>
    <row r="11" spans="1:8" x14ac:dyDescent="0.3">
      <c r="A11" s="12" t="s">
        <v>473</v>
      </c>
      <c r="B11" s="12">
        <v>1</v>
      </c>
    </row>
    <row r="12" spans="1:8" x14ac:dyDescent="0.3">
      <c r="A12" s="12" t="s">
        <v>467</v>
      </c>
      <c r="B12" s="12">
        <f>SUM('Raw Data'!H2:H251)*B11*SUM('Raw Data'!I2:I251)*1/COUNT('Raw Data'!I2:I251)</f>
        <v>223392.51000000004</v>
      </c>
    </row>
    <row r="13" spans="1:8" x14ac:dyDescent="0.3">
      <c r="A13" s="25"/>
    </row>
    <row r="16" spans="1:8" x14ac:dyDescent="0.3">
      <c r="A16" s="23" t="s">
        <v>474</v>
      </c>
    </row>
    <row r="17" spans="1:2" x14ac:dyDescent="0.3">
      <c r="A17" s="14" t="s">
        <v>475</v>
      </c>
      <c r="B17" s="14" t="s">
        <v>476</v>
      </c>
    </row>
    <row r="18" spans="1:2" x14ac:dyDescent="0.3">
      <c r="A18" s="12" t="s">
        <v>477</v>
      </c>
      <c r="B18" s="12">
        <f>SLOPE(Analysis!K4:K16,ROW(Analysis!K4:K16)-ROW(Analysis!K4)+1)</f>
        <v>-255.04510989010996</v>
      </c>
    </row>
    <row r="19" spans="1:2" x14ac:dyDescent="0.3">
      <c r="A19" s="12" t="s">
        <v>478</v>
      </c>
      <c r="B19" s="12">
        <f>INTERCEPT(Analysis!K4:K16,ROW(Analysis!K4:K16)-ROW(Analysis!K4)+1)</f>
        <v>19415.505769230767</v>
      </c>
    </row>
    <row r="20" spans="1:2" x14ac:dyDescent="0.3">
      <c r="A20" s="12" t="s">
        <v>479</v>
      </c>
      <c r="B20" s="12">
        <f>RSQ(Analysis!K4:K16,ROW(Analysis!K4:K16)-ROW(Analysis!K4)+1)</f>
        <v>4.0281041533369352E-2</v>
      </c>
    </row>
    <row r="22" spans="1:2" x14ac:dyDescent="0.3">
      <c r="A22" s="40" t="s">
        <v>480</v>
      </c>
    </row>
    <row r="23" spans="1:2" x14ac:dyDescent="0.3">
      <c r="A23" s="26"/>
    </row>
    <row r="24" spans="1:2" x14ac:dyDescent="0.3">
      <c r="A24" s="26"/>
    </row>
    <row r="25" spans="1:2" x14ac:dyDescent="0.3">
      <c r="A25" s="26"/>
    </row>
    <row r="26" spans="1:2" ht="14.4" customHeight="1" x14ac:dyDescent="0.3">
      <c r="A26" s="26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Dashboard</vt:lpstr>
      <vt:lpstr>Project Instructions</vt:lpstr>
      <vt:lpstr>Raw Data</vt:lpstr>
      <vt:lpstr>Analysis</vt:lpstr>
      <vt:lpstr>Pivot Tables</vt:lpstr>
      <vt:lpstr>Visualizations</vt:lpstr>
      <vt:lpstr>What-If &amp; Regression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NIRAL DALSANIYA</cp:lastModifiedBy>
  <dcterms:created xsi:type="dcterms:W3CDTF">2026-10-14T10:02:13Z</dcterms:created>
  <dcterms:modified xsi:type="dcterms:W3CDTF">2026-10-14T10:18:06Z</dcterms:modified>
</cp:coreProperties>
</file>